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G:\Desktop Transfer\Personal Files\MEDANALYSE\"/>
    </mc:Choice>
  </mc:AlternateContent>
  <xr:revisionPtr revIDLastSave="0" documentId="13_ncr:1_{2BDBFCF3-0BF8-4699-B3DA-E68832C97CCC}" xr6:coauthVersionLast="47" xr6:coauthVersionMax="47" xr10:uidLastSave="{00000000-0000-0000-0000-000000000000}"/>
  <bookViews>
    <workbookView xWindow="-108" yWindow="-108" windowWidth="23256" windowHeight="12456" activeTab="3" xr2:uid="{7AAA5FA3-D272-4436-834C-0E966903F685}"/>
  </bookViews>
  <sheets>
    <sheet name="Providers" sheetId="1" r:id="rId1"/>
    <sheet name="SURGICAL SCHEDULING" sheetId="6" r:id="rId2"/>
    <sheet name="RADIOLOGY" sheetId="4" r:id="rId3"/>
    <sheet name="COMMUNICATION" sheetId="9" r:id="rId4"/>
    <sheet name="CALENDAR" sheetId="8" r:id="rId5"/>
    <sheet name="MANAGEMENT CONCEPTS" sheetId="5" r:id="rId6"/>
    <sheet name="QUERIES" sheetId="10" r:id="rId7"/>
    <sheet name="DIAGRAMS" sheetId="7" r:id="rId8"/>
    <sheet name="WORKSHEET" sheetId="3" r:id="rId9"/>
  </sheets>
  <definedNames>
    <definedName name="_xleta.UPPE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5" l="1"/>
  <c r="F3" i="5"/>
  <c r="F4" i="5"/>
  <c r="F5" i="5"/>
  <c r="F6" i="5"/>
  <c r="F7" i="5"/>
  <c r="F8" i="5"/>
  <c r="F9" i="5"/>
  <c r="F10" i="5"/>
  <c r="F11" i="5"/>
  <c r="F12" i="5"/>
  <c r="F13" i="5"/>
  <c r="F14" i="5"/>
  <c r="F15" i="5"/>
  <c r="F16" i="5"/>
  <c r="F17" i="5"/>
  <c r="F18" i="5"/>
  <c r="F19" i="5"/>
  <c r="F20" i="5"/>
  <c r="F21" i="5"/>
  <c r="F22" i="5"/>
  <c r="F2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Prabhakar Pandey</author>
  </authors>
  <commentList>
    <comment ref="Q1" authorId="0" shapeId="0" xr:uid="{F06372CB-DC53-4406-B9C5-224507AC6BBB}">
      <text>
        <r>
          <rPr>
            <b/>
            <sz val="10"/>
            <color indexed="81"/>
            <rFont val="Tahoma"/>
            <charset val="1"/>
          </rPr>
          <t>Dr. Prabhakar Pandey:</t>
        </r>
        <r>
          <rPr>
            <sz val="10"/>
            <color indexed="81"/>
            <rFont val="Tahoma"/>
            <charset val="1"/>
          </rPr>
          <t xml:space="preserve">
Link to Stored Documents</t>
        </r>
      </text>
    </comment>
    <comment ref="T1" authorId="0" shapeId="0" xr:uid="{4837DA0B-9C05-41B2-9CF5-66A4D65797CC}">
      <text>
        <r>
          <rPr>
            <b/>
            <sz val="10"/>
            <color indexed="81"/>
            <rFont val="Tahoma"/>
            <charset val="1"/>
          </rPr>
          <t>Dr. Prabhakar Pandey:</t>
        </r>
        <r>
          <rPr>
            <sz val="10"/>
            <color indexed="81"/>
            <rFont val="Tahoma"/>
            <charset val="1"/>
          </rPr>
          <t xml:space="preserve">
Link to Stored Documents</t>
        </r>
      </text>
    </comment>
    <comment ref="W1" authorId="0" shapeId="0" xr:uid="{F4982C44-27CC-4928-8AEF-0DB6C4C62E02}">
      <text>
        <r>
          <rPr>
            <b/>
            <sz val="10"/>
            <color indexed="81"/>
            <rFont val="Tahoma"/>
            <charset val="1"/>
          </rPr>
          <t>Dr. Prabhakar Pandey:</t>
        </r>
        <r>
          <rPr>
            <sz val="10"/>
            <color indexed="81"/>
            <rFont val="Tahoma"/>
            <charset val="1"/>
          </rPr>
          <t xml:space="preserve">
Link to Stored Documents</t>
        </r>
      </text>
    </comment>
    <comment ref="Z1" authorId="0" shapeId="0" xr:uid="{A08514C2-2AEF-4EAF-B03A-75C54ACC5DEF}">
      <text>
        <r>
          <rPr>
            <b/>
            <sz val="10"/>
            <color indexed="81"/>
            <rFont val="Tahoma"/>
            <charset val="1"/>
          </rPr>
          <t>Dr. Prabhakar Pandey:</t>
        </r>
        <r>
          <rPr>
            <sz val="10"/>
            <color indexed="81"/>
            <rFont val="Tahoma"/>
            <charset val="1"/>
          </rPr>
          <t xml:space="preserve">
Link to Stored Documents</t>
        </r>
      </text>
    </comment>
    <comment ref="AC1" authorId="0" shapeId="0" xr:uid="{293156AE-A204-4436-A1E7-B2497D50419A}">
      <text>
        <r>
          <rPr>
            <b/>
            <sz val="10"/>
            <color indexed="81"/>
            <rFont val="Tahoma"/>
            <charset val="1"/>
          </rPr>
          <t>Dr. Prabhakar Pandey:</t>
        </r>
        <r>
          <rPr>
            <sz val="10"/>
            <color indexed="81"/>
            <rFont val="Tahoma"/>
            <charset val="1"/>
          </rPr>
          <t xml:space="preserve">
Link to Stored Documents</t>
        </r>
      </text>
    </comment>
    <comment ref="AD1" authorId="0" shapeId="0" xr:uid="{20153EA8-79C5-49F1-BE8E-A387F1371D4C}">
      <text>
        <r>
          <rPr>
            <b/>
            <sz val="10"/>
            <color indexed="81"/>
            <rFont val="Tahoma"/>
            <charset val="1"/>
          </rPr>
          <t>Dr. Prabhakar Pandey:</t>
        </r>
        <r>
          <rPr>
            <sz val="10"/>
            <color indexed="81"/>
            <rFont val="Tahoma"/>
            <charset val="1"/>
          </rPr>
          <t xml:space="preserve">
Link to Stored Documents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Dr. Prabhakar Pandey</author>
  </authors>
  <commentList>
    <comment ref="J2" authorId="0" shapeId="0" xr:uid="{C1C8BAFA-0D97-41D7-A330-1F338592ED86}">
      <text>
        <r>
          <rPr>
            <b/>
            <sz val="10"/>
            <color indexed="81"/>
            <rFont val="Tahoma"/>
            <charset val="1"/>
          </rPr>
          <t>Dr. Prabhakar Pandey:</t>
        </r>
        <r>
          <rPr>
            <sz val="10"/>
            <color indexed="81"/>
            <rFont val="Tahoma"/>
            <charset val="1"/>
          </rPr>
          <t xml:space="preserve">
If a surgical procedure is selected, details of the surgical procedure should be placed under surgery tab in a separate row</t>
        </r>
      </text>
    </comment>
  </commentList>
</comments>
</file>

<file path=xl/sharedStrings.xml><?xml version="1.0" encoding="utf-8"?>
<sst xmlns="http://schemas.openxmlformats.org/spreadsheetml/2006/main" count="404" uniqueCount="366">
  <si>
    <t>Last Name</t>
  </si>
  <si>
    <t>First Name</t>
  </si>
  <si>
    <t>Degrees</t>
  </si>
  <si>
    <t>Specialty</t>
  </si>
  <si>
    <t>Primary</t>
  </si>
  <si>
    <t>Secondary</t>
  </si>
  <si>
    <t>Tertiary</t>
  </si>
  <si>
    <t>Special Interest</t>
  </si>
  <si>
    <t>Board Certification</t>
  </si>
  <si>
    <t>Practice Name</t>
  </si>
  <si>
    <t>Practice Address</t>
  </si>
  <si>
    <t>Work Phone</t>
  </si>
  <si>
    <t>Work Fax</t>
  </si>
  <si>
    <t>URL</t>
  </si>
  <si>
    <t>Cell Phone</t>
  </si>
  <si>
    <t>CPT</t>
  </si>
  <si>
    <t>ICD</t>
  </si>
  <si>
    <t>Category</t>
  </si>
  <si>
    <t>X-ray</t>
  </si>
  <si>
    <t>Ultrasound</t>
  </si>
  <si>
    <t>CT Scan</t>
  </si>
  <si>
    <t>MRI Scan</t>
  </si>
  <si>
    <t>Nuclear Scan</t>
  </si>
  <si>
    <t>Fusion</t>
  </si>
  <si>
    <t>DATE</t>
  </si>
  <si>
    <t>LOCATION</t>
  </si>
  <si>
    <t>Whole Body</t>
  </si>
  <si>
    <t>Head</t>
  </si>
  <si>
    <t>Neck</t>
  </si>
  <si>
    <t>Chest</t>
  </si>
  <si>
    <t>Abdomen</t>
  </si>
  <si>
    <t>Pelvis</t>
  </si>
  <si>
    <t>Hand</t>
  </si>
  <si>
    <t>Wrist</t>
  </si>
  <si>
    <t>Forearm</t>
  </si>
  <si>
    <t>Elbow</t>
  </si>
  <si>
    <t>Arm</t>
  </si>
  <si>
    <t>Shoulder</t>
  </si>
  <si>
    <t>Foot</t>
  </si>
  <si>
    <t>Ankle</t>
  </si>
  <si>
    <t>Leg</t>
  </si>
  <si>
    <t>Knee</t>
  </si>
  <si>
    <t>Thigh</t>
  </si>
  <si>
    <t>Hip</t>
  </si>
  <si>
    <t>Left</t>
  </si>
  <si>
    <t>Right</t>
  </si>
  <si>
    <t>Bilateral</t>
  </si>
  <si>
    <t>Plain</t>
  </si>
  <si>
    <t>Luminal Contrast</t>
  </si>
  <si>
    <t>IV Contrast/Pharmaceutical</t>
  </si>
  <si>
    <t>Additional Comment</t>
  </si>
  <si>
    <t>Abnormal</t>
  </si>
  <si>
    <t xml:space="preserve">Abnormality </t>
  </si>
  <si>
    <t>Comments</t>
  </si>
  <si>
    <t>RADIOLOGICAL TEST</t>
  </si>
  <si>
    <t>Normal</t>
  </si>
  <si>
    <t>US CT Fusion</t>
  </si>
  <si>
    <t>CT PET Fusion</t>
  </si>
  <si>
    <t>CT Nuclear Fusion</t>
  </si>
  <si>
    <t>With Luminal Contrast Only</t>
  </si>
  <si>
    <t>With IV Contrast Only</t>
  </si>
  <si>
    <t>WithiWithout Luminal Contrast</t>
  </si>
  <si>
    <t>With/Without IV Contrast</t>
  </si>
  <si>
    <t>With Pharmaceutical Agent</t>
  </si>
  <si>
    <t>Name</t>
  </si>
  <si>
    <t>Laterality</t>
  </si>
  <si>
    <t>Doppler Flow</t>
  </si>
  <si>
    <t>Sonoangiogram</t>
  </si>
  <si>
    <t>No Contrast/Plain</t>
  </si>
  <si>
    <t>Specification</t>
  </si>
  <si>
    <t>Results</t>
  </si>
  <si>
    <t>Inconclusive</t>
  </si>
  <si>
    <t>Abnormal with Alert</t>
  </si>
  <si>
    <t>PLAN</t>
  </si>
  <si>
    <t>EXISTENT PLAN LIST</t>
  </si>
  <si>
    <t>OBSERVATION</t>
  </si>
  <si>
    <t>INVESTIGATIONS</t>
  </si>
  <si>
    <t>PHYSICAL THERAPY</t>
  </si>
  <si>
    <t>BEHAVIORAL THERAPY</t>
  </si>
  <si>
    <t>WOUND CARE</t>
  </si>
  <si>
    <t>PHARMACOTHERAPY</t>
  </si>
  <si>
    <t>SURGICAL PROCEDURE</t>
  </si>
  <si>
    <t>DISCHARGE</t>
  </si>
  <si>
    <t>NAME</t>
  </si>
  <si>
    <t>To be started</t>
  </si>
  <si>
    <t>In progress</t>
  </si>
  <si>
    <t>Results Pending</t>
  </si>
  <si>
    <t>Results Reviewed</t>
  </si>
  <si>
    <t>Conclusion &amp; Solution</t>
  </si>
  <si>
    <t>Completed</t>
  </si>
  <si>
    <t>Plan Status</t>
  </si>
  <si>
    <t>Tracking</t>
  </si>
  <si>
    <t>Subjective Improvement</t>
  </si>
  <si>
    <t>Subjective Unchanged</t>
  </si>
  <si>
    <t>Objective Improvement</t>
  </si>
  <si>
    <t>Ojective Deterioration</t>
  </si>
  <si>
    <t>Subjective Deterioration</t>
  </si>
  <si>
    <t>Objective Unchanged</t>
  </si>
  <si>
    <t>CURRENT ASSESSMENT</t>
  </si>
  <si>
    <t>SURGERY</t>
  </si>
  <si>
    <t>Dr Pandey</t>
  </si>
  <si>
    <t>Dr Jain</t>
  </si>
  <si>
    <t>Dr Larsen</t>
  </si>
  <si>
    <t>Danielle Moller</t>
  </si>
  <si>
    <t>Pierre Guadarrama</t>
  </si>
  <si>
    <t>Ureteroscopy</t>
  </si>
  <si>
    <t>ESWL</t>
  </si>
  <si>
    <t>RARP</t>
  </si>
  <si>
    <t>GLAE</t>
  </si>
  <si>
    <t>Aquablation</t>
  </si>
  <si>
    <t>Nephrectomy</t>
  </si>
  <si>
    <t>LEFT</t>
  </si>
  <si>
    <t>RIGHT</t>
  </si>
  <si>
    <t>BILATERAL</t>
  </si>
  <si>
    <t>N/A</t>
  </si>
  <si>
    <t>Hemostats</t>
  </si>
  <si>
    <t>Scissors</t>
  </si>
  <si>
    <t>Rat Tooth Forceps</t>
  </si>
  <si>
    <t>Cystoscope</t>
  </si>
  <si>
    <t>Urolock</t>
  </si>
  <si>
    <t>0-tip Basket</t>
  </si>
  <si>
    <t>Ureteral Access Sheath</t>
  </si>
  <si>
    <t>Urology</t>
  </si>
  <si>
    <t>ELECTIVE</t>
  </si>
  <si>
    <t>URGENT</t>
  </si>
  <si>
    <t>ASAP</t>
  </si>
  <si>
    <t>EMERGENT</t>
  </si>
  <si>
    <t>You’re right—Excel's lack of a native "multi-select" dropdown is one of those things that feels like it should have been solved in the 90s. Using VBA is the classic "heavy lifting" way to do it, but there is a modern alternative that might save you the headache of macro-enabled files.</t>
  </si>
  <si>
    <t>Here are your two best paths.</t>
  </si>
  <si>
    <t>---</t>
  </si>
  <si>
    <t>## Option 1: The VBA Approach (The Classic)</t>
  </si>
  <si>
    <t>This method works by detecting when you select a cell with Data Validation and then "stacking" the values instead of replacing them.</t>
  </si>
  <si>
    <t>### Step 1: Set up your Dropdown</t>
  </si>
  <si>
    <t>1. Select the cells where you want the multi-select (e.g., Column A).</t>
  </si>
  <si>
    <t>2. Go to *Data &gt; Data Validation*.</t>
  </si>
  <si>
    <t>3. Choose *List* and enter your options (e.g., Red, Blue, Green, Yellow).</t>
  </si>
  <si>
    <t>### Step 2: Add the Code</t>
  </si>
  <si>
    <t>1. Right-click the *Sheet Tab* (at the bottom) and select *View Code*.</t>
  </si>
  <si>
    <t>2. Paste the following code into the window:</t>
  </si>
  <si>
    <t>vba</t>
  </si>
  <si>
    <t>Private Sub Worksheet_Change(ByVal Target As Range)</t>
  </si>
  <si>
    <t xml:space="preserve">    Dim Oldvalue As String</t>
  </si>
  <si>
    <t xml:space="preserve">    Dim Newvalue As String</t>
  </si>
  <si>
    <t xml:space="preserve">    </t>
  </si>
  <si>
    <t xml:space="preserve">    On Error GoTo Exitsub</t>
  </si>
  <si>
    <t xml:space="preserve">    ' Check if the change happened in the column you want (e.g., Column 1)</t>
  </si>
  <si>
    <t xml:space="preserve">    ' and ensure only one cell is selected</t>
  </si>
  <si>
    <t xml:space="preserve">    If Target.Column = 1 Then</t>
  </si>
  <si>
    <t xml:space="preserve">        If Target.Value &lt;&gt; "" Then</t>
  </si>
  <si>
    <t xml:space="preserve">            Application.EnableEvents = False</t>
  </si>
  <si>
    <t xml:space="preserve">            Newvalue = Target.Value</t>
  </si>
  <si>
    <t xml:space="preserve">            Application.Undo</t>
  </si>
  <si>
    <t xml:space="preserve">            Oldvalue = Target.Value</t>
  </si>
  <si>
    <t xml:space="preserve">            </t>
  </si>
  <si>
    <t xml:space="preserve">            If Oldvalue = "" Then</t>
  </si>
  <si>
    <t xml:space="preserve">                Target.Value = Newvalue</t>
  </si>
  <si>
    <t xml:space="preserve">            Else</t>
  </si>
  <si>
    <t xml:space="preserve">                ' Check if the value is already there to avoid duplicates</t>
  </si>
  <si>
    <t xml:space="preserve">                If InStr(1, Oldvalue, Newvalue) &gt; 0 Then</t>
  </si>
  <si>
    <t xml:space="preserve">                    Target.Value = Oldvalue</t>
  </si>
  <si>
    <t xml:space="preserve">                Else</t>
  </si>
  <si>
    <t xml:space="preserve">                    Target.Value = Oldvalue &amp; ", " &amp; Newvalue</t>
  </si>
  <si>
    <t xml:space="preserve">                End If</t>
  </si>
  <si>
    <t xml:space="preserve">            End If</t>
  </si>
  <si>
    <t xml:space="preserve">        End If</t>
  </si>
  <si>
    <t xml:space="preserve">    End If</t>
  </si>
  <si>
    <t>Exitsub:</t>
  </si>
  <si>
    <t xml:space="preserve">    Application.EnableEvents = True</t>
  </si>
  <si>
    <t>End Sub</t>
  </si>
  <si>
    <t>### Step 3: Save as .xlsm</t>
  </si>
  <si>
    <t>You *must* save your file as an *Excel Macro-Enabled Workbook (.xlsm)* or the code will vanish when you close it.</t>
  </si>
  <si>
    <t>## Option 2: The "Better" Approach (Power Apps)</t>
  </si>
  <si>
    <t>If you are using *Microsoft 365, the "better" approach is often to stop fighting the grid and use a **Power Apps* integration or the *Data Image/Card* view.</t>
  </si>
  <si>
    <t>However, if you want to stay strictly in the spreadsheet, there is a new "Checkboxes" feature being rolled out to Insiders/M365 users:</t>
  </si>
  <si>
    <t>* Go to the *Insert* tab.</t>
  </si>
  <si>
    <t>* Look for the *Checkbox* button.</t>
  </si>
  <si>
    <t>* While this doesn't create a "multi-select dropdown," it allows you to create a grid of options that looks much cleaner than a comma-separated string in a single cell.</t>
  </si>
  <si>
    <t>## Which one should you choose?</t>
  </si>
  <si>
    <t>| Feature | VBA Method | Power Apps / Modern Tools |</t>
  </si>
  <si>
    <t>| --- | --- | --- |</t>
  </si>
  <si>
    <t>| *Setup Time* | 5 Minutes | 15+ Minutes |</t>
  </si>
  <si>
    <t>| *Compatibility* | Desktop only (Macros) | Web, Mobile, Desktop |</t>
  </si>
  <si>
    <t>| *Data Cleanliness* | Messy (Comma-separated text) | Clean (Relational data) |</t>
  </si>
  <si>
    <t>| *User Experience* | Feels like a "hack" | Professional interface |</t>
  </si>
  <si>
    <t>&gt; *Pro Tip:* If you use the VBA method, your "Total" formulas won't work easily because Red, Blue is text, not a number. You'll have to use COUNTIF with wildcards like "*Red*" to get accurate counts.</t>
  </si>
  <si>
    <t>Would you like me to help you refine the VBA code to include a way to "de-select" a value if you click it twice?</t>
  </si>
  <si>
    <t>Ureteroscope Semirigid</t>
  </si>
  <si>
    <t>Flexible Ureteroscope Digital</t>
  </si>
  <si>
    <t>PROGRESS STATUS</t>
  </si>
  <si>
    <t>VISIT DAY NUMBER</t>
  </si>
  <si>
    <t>INITIAL DATE OF VISIT</t>
  </si>
  <si>
    <t>CURRENT DATE</t>
  </si>
  <si>
    <t>Rounding List HTML</t>
  </si>
  <si>
    <t xml:space="preserve">https://art1907.github.io/Clinical-Roundup-List/ </t>
  </si>
  <si>
    <t>Additional Assessment</t>
  </si>
  <si>
    <t>Other</t>
  </si>
  <si>
    <t>POSITION</t>
  </si>
  <si>
    <t>SUPINE</t>
  </si>
  <si>
    <t>PRONE</t>
  </si>
  <si>
    <t>LEFT LATERAL (RIGHT SIDE UP)</t>
  </si>
  <si>
    <t>RIGHT LATERAL (LEFT SIDE UP)</t>
  </si>
  <si>
    <t>LIITHOTOMY</t>
  </si>
  <si>
    <t>MODIFIED LOW LITHOTOMY</t>
  </si>
  <si>
    <t>EXTENDED DORSAL LITHOTOMY</t>
  </si>
  <si>
    <t>KNEE-CHEST POSITION</t>
  </si>
  <si>
    <t>MODIFIED LOW LITHOTOMY, DEEP TRENDELENBURG</t>
  </si>
  <si>
    <t>PATIENT NAME</t>
  </si>
  <si>
    <t>ASSISTANT</t>
  </si>
  <si>
    <t>ANESTHESIA CHOICE</t>
  </si>
  <si>
    <t>HOSPITAL</t>
  </si>
  <si>
    <t>RESOURCE REQUIREMENT</t>
  </si>
  <si>
    <t>INSURANCE NAME</t>
  </si>
  <si>
    <t>APRROVAL REQUIREMENT</t>
  </si>
  <si>
    <t>APPROVAL DOCUMENT LINK</t>
  </si>
  <si>
    <t>MEDICAL APPROVAL</t>
  </si>
  <si>
    <t>INDUSTRY REP REQUIREMENT</t>
  </si>
  <si>
    <t>INDUSTRY REP</t>
  </si>
  <si>
    <t>PATIENT INSTRUCTIONS PREOP</t>
  </si>
  <si>
    <t>PATIENT INSTRUCTIONS POST OP</t>
  </si>
  <si>
    <t>HOSPITALS</t>
  </si>
  <si>
    <t>ABRAZO WEST</t>
  </si>
  <si>
    <t>ABRAZO ARROWHEAD</t>
  </si>
  <si>
    <t>BANNER ESTRELLA MEDICAL CENTER</t>
  </si>
  <si>
    <t>BANNER THUNDERBIRD MEDICAL CENTER</t>
  </si>
  <si>
    <t>CHANDLER REGIONAL MEDICAL CENTER</t>
  </si>
  <si>
    <t>ST JOSPEH WESTGATE</t>
  </si>
  <si>
    <t>SURGICAL ELITE</t>
  </si>
  <si>
    <t>LATERALITY</t>
  </si>
  <si>
    <t>SURGEON MAIN</t>
  </si>
  <si>
    <t>SURGEON OTHER</t>
  </si>
  <si>
    <t>PRIORITY</t>
  </si>
  <si>
    <t>Anesthesia Choice</t>
  </si>
  <si>
    <t>CHOICE</t>
  </si>
  <si>
    <t>GENERAL</t>
  </si>
  <si>
    <t>SPINAL</t>
  </si>
  <si>
    <t>REGIONAL</t>
  </si>
  <si>
    <t>NO PARALYTICS</t>
  </si>
  <si>
    <t>RESOURCE REQUIREMENTS</t>
  </si>
  <si>
    <t>X-RAY</t>
  </si>
  <si>
    <t>FROZEN SECTION</t>
  </si>
  <si>
    <t>PRBC</t>
  </si>
  <si>
    <t>ICE SLUSH</t>
  </si>
  <si>
    <t>ARGON LASER'</t>
  </si>
  <si>
    <t>ULTRASOUND</t>
  </si>
  <si>
    <t>FIREFLY</t>
  </si>
  <si>
    <t>Insurance Companies</t>
  </si>
  <si>
    <t>Plan</t>
  </si>
  <si>
    <t>MEDICARE</t>
  </si>
  <si>
    <t>BLUE CROSS BLUE SHIELD</t>
  </si>
  <si>
    <t>AETNA</t>
  </si>
  <si>
    <t>CIGNA</t>
  </si>
  <si>
    <t>APPROVAL</t>
  </si>
  <si>
    <t>REQUIRED</t>
  </si>
  <si>
    <t>NOT REQUIRED</t>
  </si>
  <si>
    <t>CONSULTATION 1</t>
  </si>
  <si>
    <t>CONSULTATION 2</t>
  </si>
  <si>
    <t>CONSULTATION 3</t>
  </si>
  <si>
    <t>CONSULTATION 1 DOCUMENT LINK</t>
  </si>
  <si>
    <t>CONSULTATION 2 DOCUMENT LINK</t>
  </si>
  <si>
    <t>CONSULTATION 3 DOCUMENT LINK</t>
  </si>
  <si>
    <t>INDUSTRY</t>
  </si>
  <si>
    <t>BOSTON SCIENTIFIC</t>
  </si>
  <si>
    <t>MEDTRONIC</t>
  </si>
  <si>
    <t>CONSULT</t>
  </si>
  <si>
    <t>MEDICAL</t>
  </si>
  <si>
    <t>CARDIAC</t>
  </si>
  <si>
    <t>PULMONARY</t>
  </si>
  <si>
    <t>ONCOLOGY</t>
  </si>
  <si>
    <t>NEUROLOGY</t>
  </si>
  <si>
    <t>Representative</t>
  </si>
  <si>
    <t>Joseph Ososki</t>
  </si>
  <si>
    <t>Janelle Chandler</t>
  </si>
  <si>
    <t>Amy Wegusen</t>
  </si>
  <si>
    <t>Thomas Young</t>
  </si>
  <si>
    <t>Joseph Ososki, BOSTON SCIENTIFIC</t>
  </si>
  <si>
    <t>Janelle Chandler, MEDTRONIC</t>
  </si>
  <si>
    <t>Amy Wegusen, BOSTON SCIENTIFIC</t>
  </si>
  <si>
    <t>Thomas Young, BOSTON SCIENTIFIC</t>
  </si>
  <si>
    <t>Representative, INDUSTRY</t>
  </si>
  <si>
    <t>laser enucleation of the prostate with morcellation (LEP/GLAE)</t>
  </si>
  <si>
    <t>Laser vaporization of the prostate (e.g., GreenLight laser)</t>
  </si>
  <si>
    <t> Laparoscopy, surgical, colpopexy (suspension of vaginal apex)</t>
  </si>
  <si>
    <t>Laparoscopy, surgical; radical nephrectomy</t>
  </si>
  <si>
    <t>Laparoscopy, surgical; with bilateral total pelvic lymphadenectomy</t>
  </si>
  <si>
    <t>Laparoscopy, surgical prostatectomy, retropubic radical, including nerve-sparing</t>
  </si>
  <si>
    <t>cystourethroscopy with calibration and/or dilation of a urethral stricture or stenosis</t>
  </si>
  <si>
    <t>cystourethroscopy with irrigation and evacuation of multiple obstructing clots</t>
  </si>
  <si>
    <t>excision of a hydrocele or spermatocele of the spermatic cord</t>
  </si>
  <si>
    <t>cystourethroscopy with ureteroscopy and/or pyeloscopy, including lithotripsy (breaking of kidney or ureteral stones)</t>
  </si>
  <si>
    <t>ureteroscopy/pyeloscopy</t>
  </si>
  <si>
    <t>extracorporeal shock wave lithotripsy (ESWL)</t>
  </si>
  <si>
    <t> Cystourethroscopy with ureteroscopy and/or pyeloscopy; with lithotripsy including insertion of indwelling ureteral stent </t>
  </si>
  <si>
    <t>cystourethroscopy with the insertion of an indwelling ureteral stent</t>
  </si>
  <si>
    <t>cystourethroscopy with ureteroscopy and/or pyeloscopy, including the removal or manipulation of a kidney/ureteral calculus (stone)</t>
  </si>
  <si>
    <t>52332,cystourethroscopy with the insertion of an indwelling ureteral stent</t>
  </si>
  <si>
    <t>52356, Cystourethroscopy with ureteroscopy and/or pyeloscopy; with lithotripsy including insertion of indwelling ureteral stent </t>
  </si>
  <si>
    <t>50590, extracorporeal shock wave lithotripsy (ESWL)</t>
  </si>
  <si>
    <t>52351, ureteroscopy/pyeloscopy</t>
  </si>
  <si>
    <t>52353, cystourethroscopy with ureteroscopy and/or pyeloscopy, including lithotripsy (breaking of kidney or ureteral stones)</t>
  </si>
  <si>
    <t>55110, excision of a hydrocele or spermatocele of the spermatic cord</t>
  </si>
  <si>
    <t>52001, cystourethroscopy with irrigation and evacuation of multiple obstructing clots</t>
  </si>
  <si>
    <t>52281, cystourethroscopy with calibration and/or dilation of a urethral stricture or stenosis</t>
  </si>
  <si>
    <t>55866, Laparoscopy, surgical prostatectomy, retropubic radical, including nerve-sparing</t>
  </si>
  <si>
    <t>38571, Laparoscopy, surgical; with bilateral total pelvic lymphadenectomy</t>
  </si>
  <si>
    <t>50545, Laparoscopy, surgical; radical nephrectomy</t>
  </si>
  <si>
    <t>57425, Laparoscopy, surgical, colpopexy (suspension of vaginal apex)</t>
  </si>
  <si>
    <t>52648, Laser vaporization of the prostate (e.g., GreenLight laser)</t>
  </si>
  <si>
    <t>52649, laser enucleation of the prostate with morcellation (LEP/GLAE)</t>
  </si>
  <si>
    <t>52352, cystourethroscopy with ureteroscopy and/or pyeloscopy, including the removal or manipulation of a kidney/ureteral calculus (stone)</t>
  </si>
  <si>
    <t>DESCRIPTION</t>
  </si>
  <si>
    <t>Date</t>
  </si>
  <si>
    <t>Patient Name</t>
  </si>
  <si>
    <t>Provider (MD/DO)</t>
  </si>
  <si>
    <t>Diagnosis</t>
  </si>
  <si>
    <t>To Do List</t>
  </si>
  <si>
    <t>Review Recent Labs</t>
  </si>
  <si>
    <t>Order Labs</t>
  </si>
  <si>
    <t>Review Recent Radiology</t>
  </si>
  <si>
    <t>Order Radiology</t>
  </si>
  <si>
    <t>Review Recent  Consults</t>
  </si>
  <si>
    <t>Order Consults</t>
  </si>
  <si>
    <t>Scheduled Procedure</t>
  </si>
  <si>
    <t>Responsibilty</t>
  </si>
  <si>
    <t>PROVIDER</t>
  </si>
  <si>
    <t>MIDLEVEL</t>
  </si>
  <si>
    <t>PROVIDER &amp; MIDLEVEL</t>
  </si>
  <si>
    <t>ROOM NUMBER</t>
  </si>
  <si>
    <t>Kidney Stone</t>
  </si>
  <si>
    <t>Ureteral Stone</t>
  </si>
  <si>
    <t>Hydronephrosis</t>
  </si>
  <si>
    <t>UTI/Urosepsis</t>
  </si>
  <si>
    <t>Urinary Retention</t>
  </si>
  <si>
    <t>Bladder Stone</t>
  </si>
  <si>
    <t>Bladder Mass</t>
  </si>
  <si>
    <t>Bladder Cancer</t>
  </si>
  <si>
    <t>Prostate Cancer</t>
  </si>
  <si>
    <t>Kidney  Cancer</t>
  </si>
  <si>
    <t>Epididimoorchitis</t>
  </si>
  <si>
    <t>Testicular Torsion</t>
  </si>
  <si>
    <t>Trauma Bladder</t>
  </si>
  <si>
    <t>Trauma Kidney</t>
  </si>
  <si>
    <t>Trauma Urethra</t>
  </si>
  <si>
    <t>Trauma Ureter</t>
  </si>
  <si>
    <t>Communicate/Message</t>
  </si>
  <si>
    <t>COMMUNICATION</t>
  </si>
  <si>
    <t>COMMUNICATION TO</t>
  </si>
  <si>
    <t>COMMENTS</t>
  </si>
  <si>
    <t>COMMUNICATION WITH</t>
  </si>
  <si>
    <t>ASSOCIATE PROVIDER</t>
  </si>
  <si>
    <t>ASSOCIATE APP</t>
  </si>
  <si>
    <t>HOSPITALIST PROVIDER</t>
  </si>
  <si>
    <t>HOSPITALIST APP</t>
  </si>
  <si>
    <t>SPECIALTY PROVIDER</t>
  </si>
  <si>
    <t>SPECIALTY  APP</t>
  </si>
  <si>
    <t>FLOOR NURSE</t>
  </si>
  <si>
    <t>NURSE SUPERVISOR</t>
  </si>
  <si>
    <t>HOUSE SUPERVISOR</t>
  </si>
  <si>
    <t>OR FRONT DESK</t>
  </si>
  <si>
    <t>OR SCHEDULING</t>
  </si>
  <si>
    <t>COMM METHOD</t>
  </si>
  <si>
    <t>IN PERSON</t>
  </si>
  <si>
    <t>PHONE CALL</t>
  </si>
  <si>
    <t>SMS</t>
  </si>
  <si>
    <t>VIDEO CALL</t>
  </si>
  <si>
    <t>e-MAIL</t>
  </si>
  <si>
    <t>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</si>
</sst>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u/>
      <sz val="11"/>
      <color theme="10"/>
      <name val="Aptos Narrow"/>
      <family val="2"/>
      <scheme val="minor"/>
    </font>
    <font>
      <sz val="10"/>
      <color indexed="81"/>
      <name val="Tahoma"/>
      <charset val="1"/>
    </font>
    <font>
      <b/>
      <sz val="10"/>
      <color indexed="81"/>
      <name val="Tahoma"/>
      <charset val="1"/>
    </font>
    <font>
      <b/>
      <sz val="11"/>
      <color theme="1"/>
      <name val="Aptos Narrow"/>
      <family val="2"/>
      <scheme val="minor"/>
    </font>
    <font>
      <sz val="12"/>
      <color theme="1"/>
      <name val="Arial"/>
      <family val="2"/>
    </font>
    <font>
      <sz val="10"/>
      <color rgb="FF001D35"/>
      <name val="Roboto"/>
    </font>
    <font>
      <sz val="11"/>
      <name val="Aptos Narrow"/>
      <family val="2"/>
      <scheme val="minor"/>
    </font>
    <font>
      <sz val="10"/>
      <color rgb="FF0A0A0A"/>
      <name val="Roboto"/>
    </font>
    <font>
      <sz val="10"/>
      <color rgb="FF001D35"/>
      <name val="Roboto"/>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2">
    <xf numFmtId="0" fontId="0" fillId="0" borderId="0" xfId="0"/>
    <xf numFmtId="0" fontId="0" fillId="0" borderId="0" xfId="0" applyAlignment="1">
      <alignment horizontal="center"/>
    </xf>
    <xf numFmtId="0" fontId="0" fillId="0" borderId="0" xfId="0">
      <extLst>
        <ext xmlns:xfpb="http://schemas.microsoft.com/office/spreadsheetml/2022/featurepropertybag" uri="{C7286773-470A-42A8-94C5-96B5CB345126}">
          <xfpb:xfComplement i="0"/>
        </ext>
      </extLst>
    </xf>
    <xf numFmtId="0" fontId="0" fillId="0" borderId="0" xfId="0" applyAlignment="1">
      <alignment horizontal="center" vertical="center"/>
    </xf>
    <xf numFmtId="0" fontId="0" fillId="2" borderId="0" xfId="0" applyFill="1"/>
    <xf numFmtId="0" fontId="0" fillId="0" borderId="0" xfId="0" applyAlignment="1">
      <alignment horizontal="left" vertical="top"/>
    </xf>
    <xf numFmtId="0" fontId="0" fillId="2" borderId="0" xfId="0" applyFill="1" applyAlignment="1">
      <alignment horizontal="center" vertical="center"/>
    </xf>
    <xf numFmtId="14" fontId="0" fillId="0" borderId="0" xfId="0" applyNumberFormat="1" applyAlignment="1">
      <alignment horizontal="center" vertical="center"/>
    </xf>
    <xf numFmtId="14" fontId="0" fillId="0" borderId="0" xfId="0" applyNumberFormat="1"/>
    <xf numFmtId="0" fontId="1" fillId="0" borderId="0" xfId="1"/>
    <xf numFmtId="0" fontId="0" fillId="0" borderId="0" xfId="0" applyAlignment="1">
      <alignment horizontal="left"/>
    </xf>
    <xf numFmtId="0" fontId="0" fillId="0" borderId="0" xfId="0" applyAlignment="1">
      <alignment horizontal="left" vertical="center"/>
    </xf>
    <xf numFmtId="0" fontId="4" fillId="0" borderId="0" xfId="0" applyFont="1" applyAlignment="1">
      <alignment horizontal="center" vertical="center"/>
    </xf>
    <xf numFmtId="0" fontId="5" fillId="0" borderId="0" xfId="0" applyFont="1" applyAlignment="1">
      <alignment vertical="center"/>
    </xf>
    <xf numFmtId="0" fontId="7" fillId="0" borderId="0" xfId="1" applyFont="1"/>
    <xf numFmtId="0" fontId="8" fillId="0" borderId="0" xfId="0" applyFont="1"/>
    <xf numFmtId="0" fontId="6" fillId="0" borderId="0" xfId="0" applyFont="1"/>
    <xf numFmtId="0" fontId="9" fillId="0" borderId="0" xfId="0" applyFont="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textRotation="90"/>
    </xf>
    <xf numFmtId="0" fontId="0" fillId="0" borderId="0" xfId="0"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448673</xdr:colOff>
      <xdr:row>28</xdr:row>
      <xdr:rowOff>33104</xdr:rowOff>
    </xdr:to>
    <xdr:pic>
      <xdr:nvPicPr>
        <xdr:cNvPr id="2" name="Picture 1">
          <a:extLst>
            <a:ext uri="{FF2B5EF4-FFF2-40B4-BE49-F238E27FC236}">
              <a16:creationId xmlns:a16="http://schemas.microsoft.com/office/drawing/2014/main" id="{D9643BC6-84E4-CD55-A336-62BC9EBCEF1C}"/>
            </a:ext>
          </a:extLst>
        </xdr:cNvPr>
        <xdr:cNvPicPr>
          <a:picLocks noChangeAspect="1"/>
        </xdr:cNvPicPr>
      </xdr:nvPicPr>
      <xdr:blipFill>
        <a:blip xmlns:r="http://schemas.openxmlformats.org/officeDocument/2006/relationships" r:embed="rId1"/>
        <a:stretch>
          <a:fillRect/>
        </a:stretch>
      </xdr:blipFill>
      <xdr:spPr>
        <a:xfrm>
          <a:off x="0" y="0"/>
          <a:ext cx="7154273" cy="5153744"/>
        </a:xfrm>
        <a:prstGeom prst="rect">
          <a:avLst/>
        </a:prstGeom>
      </xdr:spPr>
    </xdr:pic>
    <xdr:clientData/>
  </xdr:twoCellAnchor>
  <xdr:twoCellAnchor editAs="oneCell">
    <xdr:from>
      <xdr:col>12</xdr:col>
      <xdr:colOff>0</xdr:colOff>
      <xdr:row>0</xdr:row>
      <xdr:rowOff>0</xdr:rowOff>
    </xdr:from>
    <xdr:to>
      <xdr:col>24</xdr:col>
      <xdr:colOff>191548</xdr:colOff>
      <xdr:row>32</xdr:row>
      <xdr:rowOff>82743</xdr:rowOff>
    </xdr:to>
    <xdr:pic>
      <xdr:nvPicPr>
        <xdr:cNvPr id="3" name="Picture 2">
          <a:extLst>
            <a:ext uri="{FF2B5EF4-FFF2-40B4-BE49-F238E27FC236}">
              <a16:creationId xmlns:a16="http://schemas.microsoft.com/office/drawing/2014/main" id="{75CFE24E-DB61-EAE6-AB07-85B2A4E010EE}"/>
            </a:ext>
          </a:extLst>
        </xdr:cNvPr>
        <xdr:cNvPicPr>
          <a:picLocks noChangeAspect="1"/>
        </xdr:cNvPicPr>
      </xdr:nvPicPr>
      <xdr:blipFill>
        <a:blip xmlns:r="http://schemas.openxmlformats.org/officeDocument/2006/relationships" r:embed="rId2"/>
        <a:stretch>
          <a:fillRect/>
        </a:stretch>
      </xdr:blipFill>
      <xdr:spPr>
        <a:xfrm>
          <a:off x="7315200" y="0"/>
          <a:ext cx="7506748" cy="5934903"/>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hyperlink" Target="https://art1907.github.io/Clinical-Roundup-Lis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E41AE-29F0-46D6-8735-2EA45DEFA954}">
  <sheetPr codeName="Sheet2"/>
  <dimension ref="A1:P2"/>
  <sheetViews>
    <sheetView workbookViewId="0">
      <selection activeCell="J7" sqref="J7"/>
    </sheetView>
  </sheetViews>
  <sheetFormatPr defaultRowHeight="14.4" x14ac:dyDescent="0.3"/>
  <cols>
    <col min="1" max="1" width="13.109375" bestFit="1" customWidth="1"/>
    <col min="2" max="2" width="14.77734375" bestFit="1" customWidth="1"/>
    <col min="3" max="3" width="9.5546875" bestFit="1" customWidth="1"/>
  </cols>
  <sheetData>
    <row r="1" spans="1:16" x14ac:dyDescent="0.3">
      <c r="A1" t="s">
        <v>9</v>
      </c>
      <c r="B1" t="s">
        <v>10</v>
      </c>
      <c r="C1" t="s">
        <v>0</v>
      </c>
      <c r="D1" t="s">
        <v>1</v>
      </c>
      <c r="E1" t="s">
        <v>2</v>
      </c>
      <c r="F1" s="18" t="s">
        <v>3</v>
      </c>
      <c r="G1" s="18"/>
      <c r="H1" s="18"/>
      <c r="I1" s="18"/>
      <c r="J1" s="18"/>
      <c r="K1" t="s">
        <v>8</v>
      </c>
      <c r="M1" t="s">
        <v>11</v>
      </c>
      <c r="N1" t="s">
        <v>12</v>
      </c>
      <c r="O1" t="s">
        <v>13</v>
      </c>
      <c r="P1" t="s">
        <v>14</v>
      </c>
    </row>
    <row r="2" spans="1:16" x14ac:dyDescent="0.3">
      <c r="F2" t="s">
        <v>4</v>
      </c>
      <c r="G2" t="s">
        <v>5</v>
      </c>
      <c r="H2" t="s">
        <v>6</v>
      </c>
      <c r="I2" t="s">
        <v>7</v>
      </c>
    </row>
  </sheetData>
  <mergeCells count="1">
    <mergeCell ref="F1:J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4679-B701-4B6B-82A2-A937FB14193B}">
  <sheetPr codeName="Sheet4"/>
  <dimension ref="A1:AD23"/>
  <sheetViews>
    <sheetView zoomScale="115" zoomScaleNormal="115" workbookViewId="0">
      <pane xSplit="1" ySplit="1" topLeftCell="R2" activePane="bottomRight" state="frozen"/>
      <selection pane="topRight" activeCell="B1" sqref="B1"/>
      <selection pane="bottomLeft" activeCell="A2" sqref="A2"/>
      <selection pane="bottomRight" activeCell="O5" sqref="O5"/>
    </sheetView>
  </sheetViews>
  <sheetFormatPr defaultRowHeight="14.4" x14ac:dyDescent="0.3"/>
  <cols>
    <col min="2" max="2" width="34.44140625" customWidth="1"/>
    <col min="3" max="3" width="13.109375" bestFit="1" customWidth="1"/>
    <col min="4" max="4" width="95.77734375" customWidth="1"/>
    <col min="5" max="5" width="15.33203125" customWidth="1"/>
    <col min="6" max="6" width="13.5546875" customWidth="1"/>
    <col min="7" max="7" width="14.33203125" bestFit="1" customWidth="1"/>
    <col min="8" max="8" width="15.44140625" bestFit="1" customWidth="1"/>
    <col min="9" max="9" width="20.109375" customWidth="1"/>
    <col min="10" max="10" width="11.77734375" customWidth="1"/>
    <col min="11" max="11" width="97.21875" customWidth="1"/>
    <col min="12" max="12" width="18.33203125" bestFit="1" customWidth="1"/>
    <col min="13" max="13" width="36.33203125" customWidth="1"/>
    <col min="14" max="14" width="35.6640625" customWidth="1"/>
    <col min="15" max="15" width="16.109375" bestFit="1" customWidth="1"/>
    <col min="16" max="16" width="22.44140625" bestFit="1" customWidth="1"/>
    <col min="17" max="17" width="24.88671875" bestFit="1" customWidth="1"/>
    <col min="18" max="18" width="19.6640625" customWidth="1"/>
    <col min="19" max="19" width="24.21875" customWidth="1"/>
    <col min="20" max="20" width="28.88671875" bestFit="1" customWidth="1"/>
    <col min="21" max="21" width="15.6640625" bestFit="1" customWidth="1"/>
    <col min="22" max="22" width="18.21875" bestFit="1" customWidth="1"/>
    <col min="23" max="23" width="30.88671875" bestFit="1" customWidth="1"/>
    <col min="24" max="24" width="15.6640625" bestFit="1" customWidth="1"/>
    <col min="25" max="25" width="17.77734375" bestFit="1" customWidth="1"/>
    <col min="26" max="26" width="30.33203125" bestFit="1" customWidth="1"/>
    <col min="27" max="27" width="19.6640625" customWidth="1"/>
    <col min="28" max="28" width="25.77734375" bestFit="1" customWidth="1"/>
    <col min="29" max="29" width="26.77734375" bestFit="1" customWidth="1"/>
    <col min="30" max="30" width="28.21875" bestFit="1" customWidth="1"/>
  </cols>
  <sheetData>
    <row r="1" spans="1:30" s="12" customFormat="1" x14ac:dyDescent="0.3">
      <c r="A1" s="12" t="s">
        <v>24</v>
      </c>
      <c r="B1" s="12" t="s">
        <v>209</v>
      </c>
      <c r="C1" s="12" t="s">
        <v>206</v>
      </c>
      <c r="D1" s="12" t="s">
        <v>81</v>
      </c>
      <c r="E1" s="12" t="s">
        <v>230</v>
      </c>
      <c r="F1" s="12" t="s">
        <v>227</v>
      </c>
      <c r="G1" s="12" t="s">
        <v>228</v>
      </c>
      <c r="H1" s="12" t="s">
        <v>229</v>
      </c>
      <c r="I1" s="12" t="s">
        <v>207</v>
      </c>
      <c r="J1" s="12" t="s">
        <v>16</v>
      </c>
      <c r="K1" s="12" t="s">
        <v>15</v>
      </c>
      <c r="L1" s="12" t="s">
        <v>208</v>
      </c>
      <c r="M1" s="12" t="s">
        <v>196</v>
      </c>
      <c r="N1" s="12" t="s">
        <v>210</v>
      </c>
      <c r="O1" s="12" t="s">
        <v>211</v>
      </c>
      <c r="P1" s="12" t="s">
        <v>212</v>
      </c>
      <c r="Q1" s="12" t="s">
        <v>213</v>
      </c>
      <c r="R1" s="12" t="s">
        <v>254</v>
      </c>
      <c r="S1" s="12" t="s">
        <v>214</v>
      </c>
      <c r="T1" s="12" t="s">
        <v>257</v>
      </c>
      <c r="U1" s="12" t="s">
        <v>255</v>
      </c>
      <c r="V1" s="12" t="s">
        <v>214</v>
      </c>
      <c r="W1" s="12" t="s">
        <v>258</v>
      </c>
      <c r="X1" s="12" t="s">
        <v>256</v>
      </c>
      <c r="Y1" s="12" t="s">
        <v>214</v>
      </c>
      <c r="Z1" s="12" t="s">
        <v>259</v>
      </c>
      <c r="AA1" s="12" t="s">
        <v>216</v>
      </c>
      <c r="AB1" s="12" t="s">
        <v>215</v>
      </c>
      <c r="AC1" s="12" t="s">
        <v>217</v>
      </c>
      <c r="AD1" s="12" t="s">
        <v>218</v>
      </c>
    </row>
    <row r="2" spans="1:30" x14ac:dyDescent="0.3">
      <c r="A2" s="4"/>
    </row>
    <row r="3" spans="1:30" x14ac:dyDescent="0.3">
      <c r="A3" s="4"/>
    </row>
    <row r="4" spans="1:30" x14ac:dyDescent="0.3">
      <c r="A4" s="4"/>
    </row>
    <row r="5" spans="1:30" x14ac:dyDescent="0.3">
      <c r="A5" s="4"/>
    </row>
    <row r="6" spans="1:30" x14ac:dyDescent="0.3">
      <c r="A6" s="4"/>
    </row>
    <row r="7" spans="1:30" x14ac:dyDescent="0.3">
      <c r="A7" s="4"/>
    </row>
    <row r="8" spans="1:30" x14ac:dyDescent="0.3">
      <c r="A8" s="4"/>
    </row>
    <row r="9" spans="1:30" x14ac:dyDescent="0.3">
      <c r="A9" s="4"/>
    </row>
    <row r="10" spans="1:30" x14ac:dyDescent="0.3">
      <c r="A10" s="4"/>
    </row>
    <row r="11" spans="1:30" x14ac:dyDescent="0.3">
      <c r="A11" s="4"/>
    </row>
    <row r="12" spans="1:30" x14ac:dyDescent="0.3">
      <c r="A12" s="4"/>
    </row>
    <row r="13" spans="1:30" x14ac:dyDescent="0.3">
      <c r="A13" s="4"/>
    </row>
    <row r="14" spans="1:30" x14ac:dyDescent="0.3">
      <c r="A14" s="4"/>
    </row>
    <row r="15" spans="1:30" x14ac:dyDescent="0.3">
      <c r="A15" s="4"/>
    </row>
    <row r="16" spans="1:30" x14ac:dyDescent="0.3">
      <c r="A16" s="4"/>
    </row>
    <row r="17" spans="1:1" x14ac:dyDescent="0.3">
      <c r="A17" s="4"/>
    </row>
    <row r="18" spans="1:1" x14ac:dyDescent="0.3">
      <c r="A18" s="4"/>
    </row>
    <row r="19" spans="1:1" x14ac:dyDescent="0.3">
      <c r="A19" s="4"/>
    </row>
    <row r="20" spans="1:1" x14ac:dyDescent="0.3">
      <c r="A20" s="4"/>
    </row>
    <row r="21" spans="1:1" x14ac:dyDescent="0.3">
      <c r="A21" s="4"/>
    </row>
    <row r="22" spans="1:1" x14ac:dyDescent="0.3">
      <c r="A22" s="4"/>
    </row>
    <row r="23" spans="1:1" x14ac:dyDescent="0.3">
      <c r="A23" s="4"/>
    </row>
  </sheetData>
  <dataConsolidate/>
  <pageMargins left="0.7" right="0.7" top="0.75" bottom="0.75" header="0.3" footer="0.3"/>
  <legacyDrawing r:id="rId1"/>
  <extLst>
    <ext xmlns:x14="http://schemas.microsoft.com/office/spreadsheetml/2009/9/main" uri="{CCE6A557-97BC-4b89-ADB6-D9C93CAAB3DF}">
      <x14:dataValidations xmlns:xm="http://schemas.microsoft.com/office/excel/2006/main" count="16">
        <x14:dataValidation type="list" allowBlank="1" showInputMessage="1" showErrorMessage="1" xr:uid="{5AE3F511-11A5-4DE6-B9A1-2CD98D200CD3}">
          <x14:formula1>
            <xm:f>WORKSHEET!$T$14:$T$20</xm:f>
          </x14:formula1>
          <xm:sqref>B2:B23</xm:sqref>
        </x14:dataValidation>
        <x14:dataValidation type="list" allowBlank="1" showInputMessage="1" showErrorMessage="1" xr:uid="{0173162C-BAC5-46A4-B4FF-6BBFB373239F}">
          <x14:formula1>
            <xm:f>WORKSHEET!$AE$2:$AE$5</xm:f>
          </x14:formula1>
          <xm:sqref>F2:F23</xm:sqref>
        </x14:dataValidation>
        <x14:dataValidation type="list" allowBlank="1" showInputMessage="1" showErrorMessage="1" xr:uid="{06A091A6-63B3-43EE-9536-62E398108CA4}">
          <x14:formula1>
            <xm:f>WORKSHEET!$T$3:$T$10</xm:f>
          </x14:formula1>
          <xm:sqref>M2:M22</xm:sqref>
        </x14:dataValidation>
        <x14:dataValidation type="list" allowBlank="1" showInputMessage="1" showErrorMessage="1" xr:uid="{A63587DF-5C96-4FFB-99BB-8D48DA37FD6D}">
          <x14:formula1>
            <xm:f>WORKSHEET!$AA$2:$AA$17</xm:f>
          </x14:formula1>
          <xm:sqref>G2:G4 G6:G23 F1</xm:sqref>
        </x14:dataValidation>
        <x14:dataValidation type="list" allowBlank="1" showInputMessage="1" showErrorMessage="1" xr:uid="{C2EF957E-DB06-4450-8601-FF65F83BDF10}">
          <x14:formula1>
            <xm:f>WORKSHEET!$AH$2:$AH$5</xm:f>
          </x14:formula1>
          <xm:sqref>E2:E23</xm:sqref>
        </x14:dataValidation>
        <x14:dataValidation type="list" allowBlank="1" showInputMessage="1" showErrorMessage="1" xr:uid="{CEC113AA-FB45-4DE7-8778-29A707AA3DF2}">
          <x14:formula1>
            <xm:f>WORKSHEET!$AB$2:$AB$7</xm:f>
          </x14:formula1>
          <xm:sqref>I2:I23</xm:sqref>
        </x14:dataValidation>
        <x14:dataValidation type="list" allowBlank="1" showInputMessage="1" showErrorMessage="1" xr:uid="{88A7F13E-71BF-47B5-97B1-3C3ACC2FBB47}">
          <x14:formula1>
            <xm:f>WORKSHEET!$AC$2:$AC$18</xm:f>
          </x14:formula1>
          <xm:sqref>N2:N23</xm:sqref>
        </x14:dataValidation>
        <x14:dataValidation type="list" allowBlank="1" showInputMessage="1" showErrorMessage="1" xr:uid="{A941454C-98D1-4D66-9C0C-85045822134A}">
          <x14:formula1>
            <xm:f>WORKSHEET!$AI$2:$AI$17</xm:f>
          </x14:formula1>
          <xm:sqref>O2:O23</xm:sqref>
        </x14:dataValidation>
        <x14:dataValidation type="list" allowBlank="1" showInputMessage="1" showErrorMessage="1" xr:uid="{3573C291-5460-4AB2-BB6F-4ED1F5A925C5}">
          <x14:formula1>
            <xm:f>WORKSHEET!$AH$8:$AH$9</xm:f>
          </x14:formula1>
          <xm:sqref>P2:P23 AB2:AB23 S2:S23 V2:V23 Y2:Y23</xm:sqref>
        </x14:dataValidation>
        <x14:dataValidation type="list" allowBlank="1" showInputMessage="1" showErrorMessage="1" xr:uid="{D3FE29CA-A15D-458C-B726-24B331955AA9}">
          <x14:formula1>
            <xm:f>WORKSHEET!$BL$2:$BL$11</xm:f>
          </x14:formula1>
          <xm:sqref>AA2</xm:sqref>
        </x14:dataValidation>
        <x14:dataValidation type="list" allowBlank="1" showInputMessage="1" showErrorMessage="1" xr:uid="{21E9FEB2-EE6A-4D14-B8D5-109687E2F2F0}">
          <x14:formula1>
            <xm:f>WORKSHEET!$BR$2:$BR$20</xm:f>
          </x14:formula1>
          <xm:sqref>K2:K23</xm:sqref>
        </x14:dataValidation>
        <x14:dataValidation type="list" allowBlank="1" showInputMessage="1" showErrorMessage="1" xr:uid="{B3FFC806-0EFA-4943-9833-8C848162F53B}">
          <x14:formula1>
            <xm:f>WORKSHEET!$BR$2:$BR$23</xm:f>
          </x14:formula1>
          <xm:sqref>D2:D23</xm:sqref>
        </x14:dataValidation>
        <x14:dataValidation type="list" allowBlank="1" showInputMessage="1" showErrorMessage="1" xr:uid="{C9D94739-A59A-4C9B-B443-46FAC9C2F23A}">
          <x14:formula1>
            <xm:f>WORKSHEET!$X$21:$X$30</xm:f>
          </x14:formula1>
          <xm:sqref>X2:X23</xm:sqref>
        </x14:dataValidation>
        <x14:dataValidation type="list" allowBlank="1" showInputMessage="1" showErrorMessage="1" xr:uid="{2F162E5B-C3C1-4CCE-BA8E-10CF199115F3}">
          <x14:formula1>
            <xm:f>WORKSHEET!$X$21:$X$32</xm:f>
          </x14:formula1>
          <xm:sqref>U2:U23</xm:sqref>
        </x14:dataValidation>
        <x14:dataValidation type="list" allowBlank="1" showInputMessage="1" showErrorMessage="1" xr:uid="{2BDE5A05-0C4A-48B1-9997-68D6E9EE4F4C}">
          <x14:formula1>
            <xm:f>WORKSHEET!$X$21:$X$29</xm:f>
          </x14:formula1>
          <xm:sqref>R2:R23</xm:sqref>
        </x14:dataValidation>
        <x14:dataValidation type="list" allowBlank="1" showInputMessage="1" showErrorMessage="1" xr:uid="{66778000-F0E3-409E-B99A-FD7757EE1EBC}">
          <x14:formula1>
            <xm:f>WORKSHEET!$V$13:$V$20</xm:f>
          </x14:formula1>
          <xm:sqref>L2:L23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DAA80-B577-4AD4-BDB0-F2F2A244A77C}">
  <sheetPr codeName="Sheet5"/>
  <dimension ref="A1:O20"/>
  <sheetViews>
    <sheetView workbookViewId="0">
      <selection activeCell="H20" sqref="H20"/>
    </sheetView>
  </sheetViews>
  <sheetFormatPr defaultRowHeight="14.4" x14ac:dyDescent="0.3"/>
  <cols>
    <col min="6" max="6" width="11.44140625" bestFit="1" customWidth="1"/>
  </cols>
  <sheetData>
    <row r="1" spans="1:15" s="3" customFormat="1" x14ac:dyDescent="0.3">
      <c r="A1" s="3" t="s">
        <v>24</v>
      </c>
      <c r="B1" s="3" t="s">
        <v>64</v>
      </c>
      <c r="C1" s="3" t="s">
        <v>17</v>
      </c>
      <c r="D1" s="3" t="s">
        <v>25</v>
      </c>
      <c r="E1" s="3" t="s">
        <v>65</v>
      </c>
      <c r="F1" s="3" t="s">
        <v>69</v>
      </c>
      <c r="G1" s="3" t="s">
        <v>70</v>
      </c>
      <c r="H1" s="3">
        <v>1</v>
      </c>
      <c r="I1" s="3">
        <v>2</v>
      </c>
      <c r="J1" s="3">
        <v>3</v>
      </c>
      <c r="K1" s="3">
        <v>4</v>
      </c>
      <c r="L1" s="3">
        <v>5</v>
      </c>
      <c r="M1" s="3">
        <v>6</v>
      </c>
      <c r="N1" s="3">
        <v>7</v>
      </c>
      <c r="O1" s="3" t="s">
        <v>53</v>
      </c>
    </row>
    <row r="2" spans="1:15" x14ac:dyDescent="0.3">
      <c r="A2" s="4"/>
    </row>
    <row r="3" spans="1:15" x14ac:dyDescent="0.3">
      <c r="A3" s="4"/>
    </row>
    <row r="4" spans="1:15" x14ac:dyDescent="0.3">
      <c r="A4" s="4"/>
    </row>
    <row r="5" spans="1:15" x14ac:dyDescent="0.3">
      <c r="A5" s="4"/>
    </row>
    <row r="6" spans="1:15" x14ac:dyDescent="0.3">
      <c r="A6" s="4"/>
    </row>
    <row r="7" spans="1:15" x14ac:dyDescent="0.3">
      <c r="A7" s="4"/>
    </row>
    <row r="8" spans="1:15" x14ac:dyDescent="0.3">
      <c r="A8" s="4"/>
    </row>
    <row r="9" spans="1:15" x14ac:dyDescent="0.3">
      <c r="A9" s="4"/>
    </row>
    <row r="10" spans="1:15" x14ac:dyDescent="0.3">
      <c r="A10" s="4"/>
    </row>
    <row r="11" spans="1:15" x14ac:dyDescent="0.3">
      <c r="A11" s="4"/>
    </row>
    <row r="12" spans="1:15" x14ac:dyDescent="0.3">
      <c r="A12" s="4"/>
    </row>
    <row r="13" spans="1:15" x14ac:dyDescent="0.3">
      <c r="A13" s="4"/>
    </row>
    <row r="14" spans="1:15" x14ac:dyDescent="0.3">
      <c r="A14" s="4"/>
    </row>
    <row r="15" spans="1:15" x14ac:dyDescent="0.3">
      <c r="A15" s="4"/>
    </row>
    <row r="16" spans="1:15" x14ac:dyDescent="0.3">
      <c r="A16" s="4"/>
    </row>
    <row r="17" spans="1:1" x14ac:dyDescent="0.3">
      <c r="A17" s="4"/>
    </row>
    <row r="18" spans="1:1" x14ac:dyDescent="0.3">
      <c r="A18" s="4"/>
    </row>
    <row r="19" spans="1:1" x14ac:dyDescent="0.3">
      <c r="A19" s="4"/>
    </row>
    <row r="20" spans="1:1" x14ac:dyDescent="0.3">
      <c r="A20" s="4"/>
    </row>
  </sheetData>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78CAFE89-CFC0-4C50-B369-388645D5ADB8}">
          <x14:formula1>
            <xm:f>WORKSHEET!$B$3:$B$10</xm:f>
          </x14:formula1>
          <xm:sqref>C2:C20</xm:sqref>
        </x14:dataValidation>
        <x14:dataValidation type="list" allowBlank="1" showInputMessage="1" showErrorMessage="1" xr:uid="{9449B695-577B-4742-9D50-0E51C81F9856}">
          <x14:formula1>
            <xm:f>WORKSHEET!$D$3:$D$20</xm:f>
          </x14:formula1>
          <xm:sqref>D2:D20</xm:sqref>
        </x14:dataValidation>
        <x14:dataValidation type="list" allowBlank="1" showInputMessage="1" showErrorMessage="1" xr:uid="{E5F9FBB7-4B3C-4A4F-8635-A20BCAF34B57}">
          <x14:formula1>
            <xm:f>WORKSHEET!$B$13:$B$16</xm:f>
          </x14:formula1>
          <xm:sqref>E2:E20</xm:sqref>
        </x14:dataValidation>
        <x14:dataValidation type="list" allowBlank="1" showInputMessage="1" showErrorMessage="1" xr:uid="{B6B516BC-FDF4-4FC4-969E-785C1D44615B}">
          <x14:formula1>
            <xm:f>WORKSHEET!$B$19:$B$26</xm:f>
          </x14:formula1>
          <xm:sqref>F2:F20</xm:sqref>
        </x14:dataValidation>
        <x14:dataValidation type="list" allowBlank="1" showInputMessage="1" showErrorMessage="1" xr:uid="{E2C921E3-39DD-4056-8674-94D393DDE57B}">
          <x14:formula1>
            <xm:f>WORKSHEET!$B$28:$B$31</xm:f>
          </x14:formula1>
          <xm:sqref>G2:G20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63F1D-A32A-4112-B1C2-BC1EFBD801E8}">
  <dimension ref="A1:E23"/>
  <sheetViews>
    <sheetView tabSelected="1" workbookViewId="0">
      <selection activeCell="F5" sqref="F5"/>
    </sheetView>
  </sheetViews>
  <sheetFormatPr defaultRowHeight="14.4" x14ac:dyDescent="0.3"/>
  <cols>
    <col min="2" max="2" width="13.109375" bestFit="1" customWidth="1"/>
    <col min="3" max="3" width="17.109375" customWidth="1"/>
    <col min="4" max="4" width="18.5546875" bestFit="1" customWidth="1"/>
    <col min="5" max="5" width="18.5546875" customWidth="1"/>
  </cols>
  <sheetData>
    <row r="1" spans="1:5" s="12" customFormat="1" x14ac:dyDescent="0.3">
      <c r="A1" s="12" t="s">
        <v>24</v>
      </c>
      <c r="B1" s="12" t="s">
        <v>206</v>
      </c>
      <c r="C1" s="12" t="s">
        <v>344</v>
      </c>
      <c r="D1" s="12" t="s">
        <v>345</v>
      </c>
      <c r="E1" s="12" t="s">
        <v>346</v>
      </c>
    </row>
    <row r="2" spans="1:5" x14ac:dyDescent="0.3">
      <c r="A2" s="4"/>
      <c r="B2" t="s">
        <v>365</v>
      </c>
    </row>
    <row r="3" spans="1:5" x14ac:dyDescent="0.3">
      <c r="A3" s="4"/>
    </row>
    <row r="4" spans="1:5" x14ac:dyDescent="0.3">
      <c r="A4" s="4"/>
    </row>
    <row r="5" spans="1:5" x14ac:dyDescent="0.3">
      <c r="A5" s="4"/>
    </row>
    <row r="6" spans="1:5" x14ac:dyDescent="0.3">
      <c r="A6" s="4"/>
    </row>
    <row r="7" spans="1:5" x14ac:dyDescent="0.3">
      <c r="A7" s="4"/>
    </row>
    <row r="8" spans="1:5" x14ac:dyDescent="0.3">
      <c r="A8" s="4"/>
    </row>
    <row r="9" spans="1:5" x14ac:dyDescent="0.3">
      <c r="A9" s="4"/>
    </row>
    <row r="10" spans="1:5" x14ac:dyDescent="0.3">
      <c r="A10" s="4"/>
    </row>
    <row r="11" spans="1:5" x14ac:dyDescent="0.3">
      <c r="A11" s="4"/>
    </row>
    <row r="12" spans="1:5" x14ac:dyDescent="0.3">
      <c r="A12" s="4"/>
    </row>
    <row r="13" spans="1:5" x14ac:dyDescent="0.3">
      <c r="A13" s="4"/>
    </row>
    <row r="14" spans="1:5" x14ac:dyDescent="0.3">
      <c r="A14" s="4"/>
    </row>
    <row r="15" spans="1:5" x14ac:dyDescent="0.3">
      <c r="A15" s="4"/>
    </row>
    <row r="16" spans="1:5" x14ac:dyDescent="0.3">
      <c r="A16" s="4"/>
    </row>
    <row r="17" spans="1:1" x14ac:dyDescent="0.3">
      <c r="A17" s="4"/>
    </row>
    <row r="18" spans="1:1" x14ac:dyDescent="0.3">
      <c r="A18" s="4"/>
    </row>
    <row r="19" spans="1:1" x14ac:dyDescent="0.3">
      <c r="A19" s="4"/>
    </row>
    <row r="20" spans="1:1" x14ac:dyDescent="0.3">
      <c r="A20" s="4"/>
    </row>
    <row r="21" spans="1:1" x14ac:dyDescent="0.3">
      <c r="A21" s="4"/>
    </row>
    <row r="22" spans="1:1" x14ac:dyDescent="0.3">
      <c r="A22" s="4"/>
    </row>
    <row r="23" spans="1:1" x14ac:dyDescent="0.3">
      <c r="A23" s="4"/>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E52C5DB4-8DFC-44EB-9D66-BB7144EEAE2A}">
          <x14:formula1>
            <xm:f>WORKSHEET!$AI$19:$AI$32</xm:f>
          </x14:formula1>
          <xm:sqref>D2:D23</xm:sqref>
        </x14:dataValidation>
        <x14:dataValidation type="list" allowBlank="1" showInputMessage="1" showErrorMessage="1" xr:uid="{1A7516D9-D89F-4E5E-8617-C3368EAE2D79}">
          <x14:formula1>
            <xm:f>WORKSHEET!$AH$19:$AH$26</xm:f>
          </x14:formula1>
          <xm:sqref>C2:C23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7B356-EFB0-41F6-9497-3DD5489C0019}">
  <sheetPr codeName="Sheet7"/>
  <dimension ref="A1:I24"/>
  <sheetViews>
    <sheetView workbookViewId="0">
      <selection activeCell="H2" sqref="H2"/>
    </sheetView>
  </sheetViews>
  <sheetFormatPr defaultRowHeight="14.4" x14ac:dyDescent="0.3"/>
  <cols>
    <col min="2" max="2" width="11.88671875" bestFit="1" customWidth="1"/>
    <col min="3" max="3" width="32.5546875" customWidth="1"/>
    <col min="4" max="4" width="13.88671875" bestFit="1" customWidth="1"/>
    <col min="5" max="5" width="15.109375" bestFit="1" customWidth="1"/>
    <col min="6" max="6" width="22.21875" customWidth="1"/>
    <col min="7" max="7" width="12.33203125" bestFit="1" customWidth="1"/>
    <col min="8" max="8" width="20.77734375" customWidth="1"/>
    <col min="9" max="9" width="18.44140625" bestFit="1" customWidth="1"/>
  </cols>
  <sheetData>
    <row r="1" spans="1:9" s="12" customFormat="1" x14ac:dyDescent="0.3">
      <c r="A1" s="12" t="s">
        <v>310</v>
      </c>
      <c r="B1" s="12" t="s">
        <v>311</v>
      </c>
      <c r="C1" s="12" t="s">
        <v>209</v>
      </c>
      <c r="D1" s="12" t="s">
        <v>326</v>
      </c>
      <c r="E1" s="12" t="s">
        <v>312</v>
      </c>
      <c r="F1" s="12" t="s">
        <v>313</v>
      </c>
      <c r="G1" s="12" t="s">
        <v>322</v>
      </c>
      <c r="H1" s="12" t="s">
        <v>314</v>
      </c>
      <c r="I1" s="12" t="s">
        <v>321</v>
      </c>
    </row>
    <row r="2" spans="1:9" x14ac:dyDescent="0.3">
      <c r="A2" s="4"/>
      <c r="I2" s="2" t="b">
        <v>0</v>
      </c>
    </row>
    <row r="3" spans="1:9" x14ac:dyDescent="0.3">
      <c r="A3" s="4"/>
      <c r="I3" s="2" t="b">
        <v>0</v>
      </c>
    </row>
    <row r="4" spans="1:9" x14ac:dyDescent="0.3">
      <c r="A4" s="4"/>
      <c r="I4" s="2" t="b">
        <v>0</v>
      </c>
    </row>
    <row r="5" spans="1:9" x14ac:dyDescent="0.3">
      <c r="A5" s="4"/>
      <c r="I5" s="2" t="b">
        <v>0</v>
      </c>
    </row>
    <row r="6" spans="1:9" x14ac:dyDescent="0.3">
      <c r="A6" s="4"/>
      <c r="I6" s="2" t="b">
        <v>0</v>
      </c>
    </row>
    <row r="7" spans="1:9" x14ac:dyDescent="0.3">
      <c r="A7" s="4"/>
      <c r="I7" s="2" t="b">
        <v>0</v>
      </c>
    </row>
    <row r="8" spans="1:9" x14ac:dyDescent="0.3">
      <c r="A8" s="4"/>
      <c r="I8" s="2" t="b">
        <v>0</v>
      </c>
    </row>
    <row r="9" spans="1:9" x14ac:dyDescent="0.3">
      <c r="A9" s="4"/>
      <c r="I9" s="2" t="b">
        <v>0</v>
      </c>
    </row>
    <row r="10" spans="1:9" x14ac:dyDescent="0.3">
      <c r="A10" s="4"/>
      <c r="I10" s="2" t="b">
        <v>0</v>
      </c>
    </row>
    <row r="11" spans="1:9" x14ac:dyDescent="0.3">
      <c r="A11" s="4"/>
      <c r="I11" s="2" t="b">
        <v>0</v>
      </c>
    </row>
    <row r="12" spans="1:9" x14ac:dyDescent="0.3">
      <c r="A12" s="4"/>
      <c r="I12" s="2" t="b">
        <v>0</v>
      </c>
    </row>
    <row r="13" spans="1:9" x14ac:dyDescent="0.3">
      <c r="A13" s="4"/>
      <c r="I13" s="2" t="b">
        <v>0</v>
      </c>
    </row>
    <row r="14" spans="1:9" x14ac:dyDescent="0.3">
      <c r="A14" s="4"/>
      <c r="I14" s="2" t="b">
        <v>0</v>
      </c>
    </row>
    <row r="15" spans="1:9" x14ac:dyDescent="0.3">
      <c r="A15" s="4"/>
      <c r="I15" s="2" t="b">
        <v>0</v>
      </c>
    </row>
    <row r="16" spans="1:9" x14ac:dyDescent="0.3">
      <c r="A16" s="4"/>
      <c r="I16" s="2" t="b">
        <v>0</v>
      </c>
    </row>
    <row r="17" spans="1:9" x14ac:dyDescent="0.3">
      <c r="A17" s="4"/>
      <c r="I17" s="2" t="b">
        <v>0</v>
      </c>
    </row>
    <row r="18" spans="1:9" x14ac:dyDescent="0.3">
      <c r="A18" s="4"/>
      <c r="I18" s="2" t="b">
        <v>0</v>
      </c>
    </row>
    <row r="19" spans="1:9" x14ac:dyDescent="0.3">
      <c r="A19" s="4"/>
      <c r="I19" s="2" t="b">
        <v>0</v>
      </c>
    </row>
    <row r="20" spans="1:9" x14ac:dyDescent="0.3">
      <c r="A20" s="4"/>
      <c r="I20" s="2" t="b">
        <v>0</v>
      </c>
    </row>
    <row r="21" spans="1:9" x14ac:dyDescent="0.3">
      <c r="A21" s="4"/>
      <c r="I21" s="2" t="b">
        <v>0</v>
      </c>
    </row>
    <row r="22" spans="1:9" x14ac:dyDescent="0.3">
      <c r="A22" s="4"/>
      <c r="I22" s="2" t="b">
        <v>0</v>
      </c>
    </row>
    <row r="23" spans="1:9" x14ac:dyDescent="0.3">
      <c r="A23" s="4"/>
      <c r="I23" s="2" t="b">
        <v>0</v>
      </c>
    </row>
    <row r="24" spans="1:9" x14ac:dyDescent="0.3">
      <c r="A24" s="4"/>
      <c r="I24" s="2" t="b">
        <v>0</v>
      </c>
    </row>
  </sheetData>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1FCD0E9F-8B03-45B7-B16C-24186716DB6E}">
          <x14:formula1>
            <xm:f>WORKSHEET!$V$21:$V$23</xm:f>
          </x14:formula1>
          <xm:sqref>G2:G24</xm:sqref>
        </x14:dataValidation>
        <x14:dataValidation type="list" allowBlank="1" showInputMessage="1" showErrorMessage="1" xr:uid="{6031A341-CD45-4C06-9F3B-79659A70F735}">
          <x14:formula1>
            <xm:f>WORKSHEET!$T$14:$T$20</xm:f>
          </x14:formula1>
          <xm:sqref>C2:C24</xm:sqref>
        </x14:dataValidation>
        <x14:dataValidation type="list" allowBlank="1" showInputMessage="1" showErrorMessage="1" xr:uid="{1FC8C9D3-A1C3-44B3-B5BD-C729BB75E442}">
          <x14:formula1>
            <xm:f>WORKSHEET!$BN$2:$BN$20</xm:f>
          </x14:formula1>
          <xm:sqref>F2:F24</xm:sqref>
        </x14:dataValidation>
        <x14:dataValidation type="list" allowBlank="1" showInputMessage="1" showErrorMessage="1" xr:uid="{A24FE5E0-C43C-426A-8809-E9A138E01C6D}">
          <x14:formula1>
            <xm:f>WORKSHEET!$AA$2:$AA$4</xm:f>
          </x14:formula1>
          <xm:sqref>E2:E24</xm:sqref>
        </x14:dataValidation>
        <x14:dataValidation type="list" allowBlank="1" showInputMessage="1" showErrorMessage="1" xr:uid="{0B32A296-C7A2-4163-A10C-DC575961BA24}">
          <x14:formula1>
            <xm:f>WORKSHEET!$AA$11:$AA$17</xm:f>
          </x14:formula1>
          <xm:sqref>H2:H24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F2249-E941-4547-997E-A30FB10F1EE1}">
  <sheetPr codeName="Sheet6"/>
  <dimension ref="A1:J23"/>
  <sheetViews>
    <sheetView workbookViewId="0">
      <selection activeCell="A3" sqref="A3"/>
    </sheetView>
  </sheetViews>
  <sheetFormatPr defaultRowHeight="14.4" x14ac:dyDescent="0.3"/>
  <cols>
    <col min="3" max="3" width="30.5546875" customWidth="1"/>
    <col min="4" max="4" width="18.21875" style="8" bestFit="1" customWidth="1"/>
    <col min="5" max="5" width="16.21875" style="8" customWidth="1"/>
    <col min="6" max="6" width="16.21875" customWidth="1"/>
    <col min="7" max="7" width="25" bestFit="1" customWidth="1"/>
    <col min="8" max="8" width="20.21875" bestFit="1" customWidth="1"/>
    <col min="9" max="9" width="19.33203125" bestFit="1" customWidth="1"/>
    <col min="10" max="10" width="20.21875" bestFit="1" customWidth="1"/>
  </cols>
  <sheetData>
    <row r="1" spans="1:10" s="3" customFormat="1" x14ac:dyDescent="0.3">
      <c r="A1" s="6" t="s">
        <v>83</v>
      </c>
      <c r="B1" s="6" t="s">
        <v>24</v>
      </c>
      <c r="C1" s="3" t="s">
        <v>209</v>
      </c>
      <c r="D1" s="7" t="s">
        <v>190</v>
      </c>
      <c r="E1" s="7" t="s">
        <v>191</v>
      </c>
      <c r="F1" s="3" t="s">
        <v>189</v>
      </c>
      <c r="G1" s="3" t="s">
        <v>188</v>
      </c>
      <c r="H1" s="3" t="s">
        <v>98</v>
      </c>
      <c r="I1" s="3" t="s">
        <v>194</v>
      </c>
      <c r="J1" s="3" t="s">
        <v>73</v>
      </c>
    </row>
    <row r="2" spans="1:10" x14ac:dyDescent="0.3">
      <c r="A2" s="4"/>
      <c r="B2" s="4"/>
      <c r="D2" s="7">
        <v>46085</v>
      </c>
      <c r="E2" s="7">
        <v>46088</v>
      </c>
      <c r="F2" s="3">
        <f>ABS(E2-D2)+1</f>
        <v>4</v>
      </c>
      <c r="J2" t="s">
        <v>81</v>
      </c>
    </row>
    <row r="3" spans="1:10" x14ac:dyDescent="0.3">
      <c r="A3" s="4"/>
      <c r="B3" s="4"/>
      <c r="D3" s="7"/>
      <c r="E3" s="7"/>
      <c r="F3" s="3">
        <f t="shared" ref="F3:F23" si="0">ABS(E3-D3)</f>
        <v>0</v>
      </c>
    </row>
    <row r="4" spans="1:10" x14ac:dyDescent="0.3">
      <c r="A4" s="4"/>
      <c r="B4" s="4"/>
      <c r="D4" s="7"/>
      <c r="E4" s="7"/>
      <c r="F4" s="3">
        <f t="shared" si="0"/>
        <v>0</v>
      </c>
    </row>
    <row r="5" spans="1:10" x14ac:dyDescent="0.3">
      <c r="A5" s="4"/>
      <c r="B5" s="4"/>
      <c r="F5" s="3">
        <f t="shared" si="0"/>
        <v>0</v>
      </c>
    </row>
    <row r="6" spans="1:10" x14ac:dyDescent="0.3">
      <c r="A6" s="4"/>
      <c r="B6" s="4"/>
      <c r="F6" s="3">
        <f t="shared" si="0"/>
        <v>0</v>
      </c>
    </row>
    <row r="7" spans="1:10" x14ac:dyDescent="0.3">
      <c r="A7" s="4"/>
      <c r="B7" s="4"/>
      <c r="F7" s="3">
        <f t="shared" si="0"/>
        <v>0</v>
      </c>
    </row>
    <row r="8" spans="1:10" x14ac:dyDescent="0.3">
      <c r="A8" s="4"/>
      <c r="B8" s="4"/>
      <c r="F8" s="3">
        <f t="shared" si="0"/>
        <v>0</v>
      </c>
    </row>
    <row r="9" spans="1:10" x14ac:dyDescent="0.3">
      <c r="A9" s="4"/>
      <c r="B9" s="4"/>
      <c r="F9" s="3">
        <f t="shared" si="0"/>
        <v>0</v>
      </c>
    </row>
    <row r="10" spans="1:10" x14ac:dyDescent="0.3">
      <c r="A10" s="4"/>
      <c r="B10" s="4"/>
      <c r="F10" s="3">
        <f t="shared" si="0"/>
        <v>0</v>
      </c>
    </row>
    <row r="11" spans="1:10" x14ac:dyDescent="0.3">
      <c r="A11" s="4"/>
      <c r="B11" s="4"/>
      <c r="F11" s="3">
        <f t="shared" si="0"/>
        <v>0</v>
      </c>
    </row>
    <row r="12" spans="1:10" x14ac:dyDescent="0.3">
      <c r="A12" s="4"/>
      <c r="B12" s="4"/>
      <c r="F12" s="3">
        <f t="shared" si="0"/>
        <v>0</v>
      </c>
    </row>
    <row r="13" spans="1:10" x14ac:dyDescent="0.3">
      <c r="A13" s="4"/>
      <c r="B13" s="4"/>
      <c r="F13" s="3">
        <f t="shared" si="0"/>
        <v>0</v>
      </c>
    </row>
    <row r="14" spans="1:10" x14ac:dyDescent="0.3">
      <c r="A14" s="4"/>
      <c r="B14" s="4"/>
      <c r="F14" s="3">
        <f t="shared" si="0"/>
        <v>0</v>
      </c>
    </row>
    <row r="15" spans="1:10" x14ac:dyDescent="0.3">
      <c r="A15" s="4"/>
      <c r="B15" s="4"/>
      <c r="F15" s="3">
        <f t="shared" si="0"/>
        <v>0</v>
      </c>
    </row>
    <row r="16" spans="1:10" x14ac:dyDescent="0.3">
      <c r="A16" s="4"/>
      <c r="B16" s="4"/>
      <c r="F16" s="3">
        <f t="shared" si="0"/>
        <v>0</v>
      </c>
    </row>
    <row r="17" spans="1:6" x14ac:dyDescent="0.3">
      <c r="A17" s="4"/>
      <c r="B17" s="4"/>
      <c r="F17" s="3">
        <f t="shared" si="0"/>
        <v>0</v>
      </c>
    </row>
    <row r="18" spans="1:6" x14ac:dyDescent="0.3">
      <c r="A18" s="4"/>
      <c r="B18" s="4"/>
      <c r="F18" s="3">
        <f t="shared" si="0"/>
        <v>0</v>
      </c>
    </row>
    <row r="19" spans="1:6" x14ac:dyDescent="0.3">
      <c r="A19" s="4"/>
      <c r="B19" s="4"/>
      <c r="F19" s="3">
        <f t="shared" si="0"/>
        <v>0</v>
      </c>
    </row>
    <row r="20" spans="1:6" x14ac:dyDescent="0.3">
      <c r="A20" s="4"/>
      <c r="B20" s="4"/>
      <c r="F20" s="3">
        <f t="shared" si="0"/>
        <v>0</v>
      </c>
    </row>
    <row r="21" spans="1:6" x14ac:dyDescent="0.3">
      <c r="A21" s="4"/>
      <c r="B21" s="4"/>
      <c r="F21" s="3">
        <f t="shared" si="0"/>
        <v>0</v>
      </c>
    </row>
    <row r="22" spans="1:6" x14ac:dyDescent="0.3">
      <c r="A22" s="4"/>
      <c r="B22" s="4"/>
      <c r="F22" s="3">
        <f t="shared" si="0"/>
        <v>0</v>
      </c>
    </row>
    <row r="23" spans="1:6" x14ac:dyDescent="0.3">
      <c r="A23" s="4"/>
      <c r="B23" s="4"/>
      <c r="F23" s="3">
        <f t="shared" si="0"/>
        <v>0</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1EB060EB-0A6E-4C7D-866D-E2E80D951014}">
          <x14:formula1>
            <xm:f>WORKSHEET!$V$2:$V$10</xm:f>
          </x14:formula1>
          <xm:sqref>J2:J23</xm:sqref>
        </x14:dataValidation>
        <x14:dataValidation type="list" allowBlank="1" showInputMessage="1" showErrorMessage="1" xr:uid="{1BDB0F38-B913-4D11-BB50-54BDE88F487B}">
          <x14:formula1>
            <xm:f>WORKSHEET!$X$11:$X$17</xm:f>
          </x14:formula1>
          <xm:sqref>H2:H23</xm:sqref>
        </x14:dataValidation>
        <x14:dataValidation type="list" allowBlank="1" showInputMessage="1" showErrorMessage="1" xr:uid="{AD5B0836-94C0-4696-AE5C-C5176769F108}">
          <x14:formula1>
            <xm:f>WORKSHEET!$X$2:$X$7</xm:f>
          </x14:formula1>
          <xm:sqref>I3:I23 G2:G23</xm:sqref>
        </x14:dataValidation>
        <x14:dataValidation type="list" allowBlank="1" showInputMessage="1" showErrorMessage="1" xr:uid="{417B6D00-35EA-47E7-B6FE-56033056AE71}">
          <x14:formula1>
            <xm:f>WORKSHEET!$T$14:$T$23</xm:f>
          </x14:formula1>
          <xm:sqref>C2:C23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C8543-C723-4468-ADC6-AC6882A9B5EE}">
  <dimension ref="A1"/>
  <sheetViews>
    <sheetView workbookViewId="0">
      <selection activeCell="J9" sqref="J9"/>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1B080-CA96-4336-8BEC-D5B850DC05C9}">
  <sheetPr codeName="Sheet3"/>
  <dimension ref="A1"/>
  <sheetViews>
    <sheetView workbookViewId="0">
      <selection activeCell="M1" sqref="M1"/>
    </sheetView>
  </sheetViews>
  <sheetFormatPr defaultRowHeight="14.4"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E8751-B0DC-4240-9493-9FB7443DCFFC}">
  <sheetPr codeName="Sheet1"/>
  <dimension ref="A1:BR85"/>
  <sheetViews>
    <sheetView topLeftCell="AD10" workbookViewId="0">
      <selection activeCell="AH24" sqref="AH24"/>
    </sheetView>
  </sheetViews>
  <sheetFormatPr defaultRowHeight="14.4" x14ac:dyDescent="0.3"/>
  <cols>
    <col min="2" max="2" width="39.88671875" bestFit="1" customWidth="1"/>
    <col min="4" max="4" width="10.33203125" bestFit="1" customWidth="1"/>
    <col min="9" max="9" width="14.6640625" bestFit="1" customWidth="1"/>
    <col min="10" max="10" width="23.5546875" bestFit="1" customWidth="1"/>
    <col min="11" max="11" width="18.44140625" bestFit="1" customWidth="1"/>
    <col min="12" max="12" width="7" bestFit="1" customWidth="1"/>
    <col min="20" max="20" width="44" style="10" bestFit="1" customWidth="1"/>
    <col min="22" max="22" width="19.6640625" bestFit="1" customWidth="1"/>
    <col min="24" max="24" width="20.33203125" bestFit="1" customWidth="1"/>
    <col min="25" max="25" width="19.5546875" bestFit="1" customWidth="1"/>
    <col min="27" max="27" width="20.88671875" bestFit="1" customWidth="1"/>
    <col min="28" max="28" width="16.5546875" bestFit="1" customWidth="1"/>
    <col min="29" max="29" width="23.5546875" style="5" bestFit="1" customWidth="1"/>
    <col min="30" max="30" width="11.77734375" bestFit="1" customWidth="1"/>
    <col min="33" max="33" width="24.109375" bestFit="1" customWidth="1"/>
    <col min="34" max="34" width="17.5546875" bestFit="1" customWidth="1"/>
    <col min="35" max="35" width="22.33203125" style="5" bestFit="1" customWidth="1"/>
    <col min="62" max="62" width="17.5546875" bestFit="1" customWidth="1"/>
    <col min="63" max="63" width="14.33203125" bestFit="1" customWidth="1"/>
    <col min="64" max="64" width="30.33203125" bestFit="1" customWidth="1"/>
    <col min="66" max="66" width="15.21875" bestFit="1" customWidth="1"/>
    <col min="69" max="69" width="101" bestFit="1" customWidth="1"/>
    <col min="70" max="70" width="138.5546875" bestFit="1" customWidth="1"/>
  </cols>
  <sheetData>
    <row r="1" spans="1:70" x14ac:dyDescent="0.3">
      <c r="B1" s="18" t="s">
        <v>54</v>
      </c>
      <c r="C1" s="18"/>
      <c r="D1" s="18"/>
      <c r="E1" s="18"/>
      <c r="F1" s="18"/>
      <c r="G1" s="18"/>
      <c r="H1" s="18"/>
      <c r="I1" s="18"/>
      <c r="J1" s="18"/>
      <c r="K1" s="18"/>
      <c r="L1" s="1"/>
      <c r="N1" s="19" t="s">
        <v>52</v>
      </c>
      <c r="O1" s="19"/>
      <c r="P1" s="19"/>
      <c r="Q1" s="19"/>
      <c r="R1" s="19"/>
      <c r="S1" s="19"/>
      <c r="T1" s="1" t="s">
        <v>196</v>
      </c>
      <c r="V1" t="s">
        <v>73</v>
      </c>
      <c r="X1" t="s">
        <v>90</v>
      </c>
      <c r="AC1" s="5" t="s">
        <v>237</v>
      </c>
      <c r="AI1" s="11" t="s">
        <v>245</v>
      </c>
      <c r="AJ1" t="s">
        <v>246</v>
      </c>
      <c r="AK1" t="s">
        <v>127</v>
      </c>
      <c r="BJ1" t="s">
        <v>260</v>
      </c>
      <c r="BK1" s="5" t="s">
        <v>269</v>
      </c>
      <c r="BL1" s="5" t="s">
        <v>278</v>
      </c>
      <c r="BN1" t="s">
        <v>313</v>
      </c>
      <c r="BP1" t="s">
        <v>15</v>
      </c>
      <c r="BQ1" t="s">
        <v>309</v>
      </c>
    </row>
    <row r="2" spans="1:70" s="3" customFormat="1" ht="15" x14ac:dyDescent="0.3">
      <c r="A2" s="3" t="s">
        <v>24</v>
      </c>
      <c r="B2" s="3" t="s">
        <v>17</v>
      </c>
      <c r="C2" s="3" t="s">
        <v>23</v>
      </c>
      <c r="D2" s="3" t="s">
        <v>25</v>
      </c>
      <c r="E2" s="3" t="s">
        <v>44</v>
      </c>
      <c r="F2" s="3" t="s">
        <v>45</v>
      </c>
      <c r="G2" s="3" t="s">
        <v>46</v>
      </c>
      <c r="H2" s="3" t="s">
        <v>47</v>
      </c>
      <c r="I2" s="3" t="s">
        <v>48</v>
      </c>
      <c r="J2" s="3" t="s">
        <v>49</v>
      </c>
      <c r="K2" s="3" t="s">
        <v>50</v>
      </c>
      <c r="L2" s="3" t="s">
        <v>55</v>
      </c>
      <c r="M2" s="3" t="s">
        <v>51</v>
      </c>
      <c r="N2" s="3">
        <v>1</v>
      </c>
      <c r="O2" s="3">
        <v>2</v>
      </c>
      <c r="P2" s="3">
        <v>3</v>
      </c>
      <c r="Q2" s="3">
        <v>4</v>
      </c>
      <c r="R2" s="3">
        <v>5</v>
      </c>
      <c r="S2" s="3" t="s">
        <v>53</v>
      </c>
      <c r="T2" s="11" t="s">
        <v>197</v>
      </c>
      <c r="V2" s="5" t="s">
        <v>74</v>
      </c>
      <c r="X2" s="5" t="s">
        <v>84</v>
      </c>
      <c r="AA2" s="21" t="s">
        <v>100</v>
      </c>
      <c r="AB2" s="3" t="s">
        <v>103</v>
      </c>
      <c r="AC2" s="5" t="s">
        <v>238</v>
      </c>
      <c r="AD2" s="3" t="s">
        <v>105</v>
      </c>
      <c r="AE2" s="5" t="s">
        <v>111</v>
      </c>
      <c r="AF2" s="20" t="s">
        <v>122</v>
      </c>
      <c r="AG2" s="5" t="s">
        <v>115</v>
      </c>
      <c r="AH2" s="3" t="s">
        <v>123</v>
      </c>
      <c r="AI2" s="5" t="s">
        <v>247</v>
      </c>
      <c r="BJ2" t="s">
        <v>261</v>
      </c>
      <c r="BK2" s="5" t="s">
        <v>270</v>
      </c>
      <c r="BL2" s="5" t="s">
        <v>274</v>
      </c>
      <c r="BN2" s="10" t="s">
        <v>327</v>
      </c>
      <c r="BP2" s="13">
        <v>52332</v>
      </c>
      <c r="BQ2" s="5" t="s">
        <v>292</v>
      </c>
      <c r="BR2" s="13" t="s">
        <v>294</v>
      </c>
    </row>
    <row r="3" spans="1:70" ht="15" x14ac:dyDescent="0.3">
      <c r="B3" t="s">
        <v>18</v>
      </c>
      <c r="C3" s="2" t="b">
        <v>0</v>
      </c>
      <c r="D3" t="s">
        <v>26</v>
      </c>
      <c r="E3" s="2" t="b">
        <v>0</v>
      </c>
      <c r="F3" s="2" t="b">
        <v>0</v>
      </c>
      <c r="G3" s="2" t="b">
        <v>0</v>
      </c>
      <c r="H3" s="2" t="b">
        <v>0</v>
      </c>
      <c r="J3" s="2" t="b">
        <v>0</v>
      </c>
      <c r="L3" s="2" t="b">
        <v>0</v>
      </c>
      <c r="M3" s="2" t="b">
        <v>0</v>
      </c>
      <c r="T3" s="10" t="s">
        <v>198</v>
      </c>
      <c r="V3" t="s">
        <v>75</v>
      </c>
      <c r="X3" t="s">
        <v>85</v>
      </c>
      <c r="AA3" t="s">
        <v>101</v>
      </c>
      <c r="AB3" t="s">
        <v>104</v>
      </c>
      <c r="AC3" s="5" t="s">
        <v>239</v>
      </c>
      <c r="AD3" t="s">
        <v>106</v>
      </c>
      <c r="AE3" t="s">
        <v>112</v>
      </c>
      <c r="AF3" s="20"/>
      <c r="AG3" t="s">
        <v>116</v>
      </c>
      <c r="AH3" t="s">
        <v>124</v>
      </c>
      <c r="AI3" s="5" t="s">
        <v>248</v>
      </c>
      <c r="AK3" t="s">
        <v>128</v>
      </c>
      <c r="BJ3" t="s">
        <v>262</v>
      </c>
      <c r="BK3" s="5" t="s">
        <v>271</v>
      </c>
      <c r="BL3" s="5" t="s">
        <v>275</v>
      </c>
      <c r="BN3" t="s">
        <v>328</v>
      </c>
      <c r="BP3" s="13">
        <v>52356</v>
      </c>
      <c r="BQ3" t="s">
        <v>291</v>
      </c>
      <c r="BR3" s="13" t="s">
        <v>295</v>
      </c>
    </row>
    <row r="4" spans="1:70" ht="15" x14ac:dyDescent="0.3">
      <c r="B4" t="s">
        <v>19</v>
      </c>
      <c r="C4" s="2" t="b">
        <v>0</v>
      </c>
      <c r="D4" t="s">
        <v>27</v>
      </c>
      <c r="E4" s="2" t="b">
        <v>0</v>
      </c>
      <c r="F4" s="2" t="b">
        <v>0</v>
      </c>
      <c r="G4" s="2" t="b">
        <v>0</v>
      </c>
      <c r="H4" s="2" t="b">
        <v>0</v>
      </c>
      <c r="I4" s="2" t="b">
        <v>0</v>
      </c>
      <c r="J4" s="2" t="b">
        <v>0</v>
      </c>
      <c r="L4" s="2" t="b">
        <v>0</v>
      </c>
      <c r="M4" s="2" t="b">
        <v>0</v>
      </c>
      <c r="T4" s="10" t="s">
        <v>199</v>
      </c>
      <c r="V4" t="s">
        <v>76</v>
      </c>
      <c r="X4" t="s">
        <v>86</v>
      </c>
      <c r="Y4" t="s">
        <v>99</v>
      </c>
      <c r="Z4" t="s">
        <v>24</v>
      </c>
      <c r="AA4" t="s">
        <v>102</v>
      </c>
      <c r="AC4" s="5" t="s">
        <v>240</v>
      </c>
      <c r="AD4" t="s">
        <v>107</v>
      </c>
      <c r="AE4" t="s">
        <v>113</v>
      </c>
      <c r="AF4" s="20"/>
      <c r="AG4" t="s">
        <v>117</v>
      </c>
      <c r="AH4" t="s">
        <v>125</v>
      </c>
      <c r="AI4" s="5" t="s">
        <v>249</v>
      </c>
      <c r="BJ4" t="s">
        <v>261</v>
      </c>
      <c r="BK4" s="5" t="s">
        <v>272</v>
      </c>
      <c r="BL4" s="5" t="s">
        <v>276</v>
      </c>
      <c r="BN4" t="s">
        <v>329</v>
      </c>
      <c r="BP4" s="13">
        <v>50590</v>
      </c>
      <c r="BQ4" t="s">
        <v>290</v>
      </c>
      <c r="BR4" s="13" t="s">
        <v>296</v>
      </c>
    </row>
    <row r="5" spans="1:70" ht="15" x14ac:dyDescent="0.3">
      <c r="B5" t="s">
        <v>20</v>
      </c>
      <c r="C5" s="2" t="b">
        <v>0</v>
      </c>
      <c r="D5" t="s">
        <v>28</v>
      </c>
      <c r="E5" s="2" t="b">
        <v>0</v>
      </c>
      <c r="F5" s="2" t="b">
        <v>0</v>
      </c>
      <c r="G5" s="2" t="b">
        <v>0</v>
      </c>
      <c r="H5" s="2" t="b">
        <v>0</v>
      </c>
      <c r="I5" s="2" t="b">
        <v>0</v>
      </c>
      <c r="J5" s="2" t="b">
        <v>0</v>
      </c>
      <c r="L5" s="2" t="b">
        <v>0</v>
      </c>
      <c r="M5" s="2" t="b">
        <v>0</v>
      </c>
      <c r="T5" s="10" t="s">
        <v>200</v>
      </c>
      <c r="V5" t="s">
        <v>77</v>
      </c>
      <c r="X5" t="s">
        <v>87</v>
      </c>
      <c r="AC5" s="5" t="s">
        <v>241</v>
      </c>
      <c r="AD5" t="s">
        <v>108</v>
      </c>
      <c r="AE5" t="s">
        <v>114</v>
      </c>
      <c r="AF5" s="20"/>
      <c r="AG5" t="s">
        <v>118</v>
      </c>
      <c r="AH5" t="s">
        <v>126</v>
      </c>
      <c r="AI5" s="5" t="s">
        <v>250</v>
      </c>
      <c r="AK5" t="s">
        <v>129</v>
      </c>
      <c r="BJ5" t="s">
        <v>261</v>
      </c>
      <c r="BK5" s="5" t="s">
        <v>273</v>
      </c>
      <c r="BL5" s="5" t="s">
        <v>277</v>
      </c>
      <c r="BN5" t="s">
        <v>330</v>
      </c>
      <c r="BP5" s="13">
        <v>52351</v>
      </c>
      <c r="BQ5" s="15" t="s">
        <v>289</v>
      </c>
      <c r="BR5" s="13" t="s">
        <v>297</v>
      </c>
    </row>
    <row r="6" spans="1:70" ht="15" x14ac:dyDescent="0.3">
      <c r="B6" t="s">
        <v>21</v>
      </c>
      <c r="C6" s="2" t="b">
        <v>0</v>
      </c>
      <c r="D6" t="s">
        <v>29</v>
      </c>
      <c r="E6" s="2" t="b">
        <v>0</v>
      </c>
      <c r="F6" s="2" t="b">
        <v>0</v>
      </c>
      <c r="G6" s="2" t="b">
        <v>0</v>
      </c>
      <c r="H6" s="2" t="b">
        <v>0</v>
      </c>
      <c r="I6" s="2" t="b">
        <v>0</v>
      </c>
      <c r="J6" s="2" t="b">
        <v>0</v>
      </c>
      <c r="L6" s="2" t="b">
        <v>0</v>
      </c>
      <c r="M6" s="2" t="b">
        <v>0</v>
      </c>
      <c r="T6" s="10" t="s">
        <v>201</v>
      </c>
      <c r="V6" t="s">
        <v>78</v>
      </c>
      <c r="X6" t="s">
        <v>88</v>
      </c>
      <c r="AC6" s="5" t="s">
        <v>242</v>
      </c>
      <c r="AD6" t="s">
        <v>109</v>
      </c>
      <c r="AF6" s="20"/>
      <c r="AG6" t="s">
        <v>186</v>
      </c>
      <c r="BN6" t="s">
        <v>331</v>
      </c>
      <c r="BP6" s="13">
        <v>52353</v>
      </c>
      <c r="BQ6" s="17" t="s">
        <v>288</v>
      </c>
      <c r="BR6" s="13" t="s">
        <v>298</v>
      </c>
    </row>
    <row r="7" spans="1:70" ht="15" x14ac:dyDescent="0.3">
      <c r="B7" t="s">
        <v>22</v>
      </c>
      <c r="C7" s="2" t="b">
        <v>0</v>
      </c>
      <c r="D7" t="s">
        <v>30</v>
      </c>
      <c r="E7" s="2" t="b">
        <v>0</v>
      </c>
      <c r="F7" s="2" t="b">
        <v>0</v>
      </c>
      <c r="G7" s="2" t="b">
        <v>0</v>
      </c>
      <c r="H7" s="2" t="b">
        <v>0</v>
      </c>
      <c r="I7" s="2" t="b">
        <v>0</v>
      </c>
      <c r="J7" s="2" t="b">
        <v>0</v>
      </c>
      <c r="L7" s="2" t="b">
        <v>0</v>
      </c>
      <c r="M7" s="2" t="b">
        <v>0</v>
      </c>
      <c r="T7" s="10" t="s">
        <v>202</v>
      </c>
      <c r="V7" t="s">
        <v>79</v>
      </c>
      <c r="X7" t="s">
        <v>89</v>
      </c>
      <c r="AC7" s="5" t="s">
        <v>243</v>
      </c>
      <c r="AD7" t="s">
        <v>110</v>
      </c>
      <c r="AF7" s="20"/>
      <c r="AG7" t="s">
        <v>119</v>
      </c>
      <c r="AH7" t="s">
        <v>251</v>
      </c>
      <c r="AK7" t="s">
        <v>130</v>
      </c>
      <c r="BN7" t="s">
        <v>332</v>
      </c>
      <c r="BP7" s="13">
        <v>55110</v>
      </c>
      <c r="BQ7" s="16" t="s">
        <v>287</v>
      </c>
      <c r="BR7" s="13" t="s">
        <v>299</v>
      </c>
    </row>
    <row r="8" spans="1:70" ht="15" x14ac:dyDescent="0.3">
      <c r="B8" t="s">
        <v>56</v>
      </c>
      <c r="D8" t="s">
        <v>31</v>
      </c>
      <c r="E8" s="2" t="b">
        <v>0</v>
      </c>
      <c r="F8" s="2" t="b">
        <v>0</v>
      </c>
      <c r="G8" s="2" t="b">
        <v>0</v>
      </c>
      <c r="H8" s="2" t="b">
        <v>0</v>
      </c>
      <c r="I8" s="2" t="b">
        <v>0</v>
      </c>
      <c r="J8" s="2" t="b">
        <v>0</v>
      </c>
      <c r="L8" s="2" t="b">
        <v>0</v>
      </c>
      <c r="M8" s="2" t="b">
        <v>0</v>
      </c>
      <c r="T8" s="10" t="s">
        <v>203</v>
      </c>
      <c r="V8" t="s">
        <v>80</v>
      </c>
      <c r="AC8" s="5" t="s">
        <v>244</v>
      </c>
      <c r="AF8" s="20"/>
      <c r="AG8" t="s">
        <v>120</v>
      </c>
      <c r="AH8" t="s">
        <v>252</v>
      </c>
      <c r="BN8" t="s">
        <v>333</v>
      </c>
      <c r="BP8" s="13">
        <v>52001</v>
      </c>
      <c r="BQ8" t="s">
        <v>286</v>
      </c>
      <c r="BR8" s="13" t="s">
        <v>300</v>
      </c>
    </row>
    <row r="9" spans="1:70" ht="15" x14ac:dyDescent="0.3">
      <c r="B9" t="s">
        <v>57</v>
      </c>
      <c r="D9" t="s">
        <v>32</v>
      </c>
      <c r="E9" s="2" t="b">
        <v>0</v>
      </c>
      <c r="F9" s="2" t="b">
        <v>0</v>
      </c>
      <c r="G9" s="2" t="b">
        <v>0</v>
      </c>
      <c r="H9" s="2" t="b">
        <v>0</v>
      </c>
      <c r="J9" s="2" t="b">
        <v>0</v>
      </c>
      <c r="L9" s="2" t="b">
        <v>0</v>
      </c>
      <c r="M9" s="2" t="b">
        <v>0</v>
      </c>
      <c r="T9" s="10" t="s">
        <v>204</v>
      </c>
      <c r="V9" t="s">
        <v>81</v>
      </c>
      <c r="AF9" s="20"/>
      <c r="AG9" t="s">
        <v>121</v>
      </c>
      <c r="AH9" t="s">
        <v>253</v>
      </c>
      <c r="AK9" t="s">
        <v>131</v>
      </c>
      <c r="BN9" t="s">
        <v>334</v>
      </c>
      <c r="BP9" s="13">
        <v>52281</v>
      </c>
      <c r="BQ9" t="s">
        <v>285</v>
      </c>
      <c r="BR9" s="13" t="s">
        <v>301</v>
      </c>
    </row>
    <row r="10" spans="1:70" ht="15" x14ac:dyDescent="0.3">
      <c r="B10" t="s">
        <v>58</v>
      </c>
      <c r="D10" t="s">
        <v>33</v>
      </c>
      <c r="E10" s="2" t="b">
        <v>0</v>
      </c>
      <c r="F10" s="2" t="b">
        <v>0</v>
      </c>
      <c r="G10" s="2" t="b">
        <v>0</v>
      </c>
      <c r="H10" s="2" t="b">
        <v>0</v>
      </c>
      <c r="J10" s="2" t="b">
        <v>0</v>
      </c>
      <c r="L10" s="2" t="b">
        <v>0</v>
      </c>
      <c r="M10" s="2" t="b">
        <v>0</v>
      </c>
      <c r="T10" s="10" t="s">
        <v>205</v>
      </c>
      <c r="V10" t="s">
        <v>82</v>
      </c>
      <c r="X10" t="s">
        <v>91</v>
      </c>
      <c r="AG10" t="s">
        <v>187</v>
      </c>
      <c r="BN10" t="s">
        <v>335</v>
      </c>
      <c r="BP10" s="13">
        <v>55866</v>
      </c>
      <c r="BQ10" s="15" t="s">
        <v>284</v>
      </c>
      <c r="BR10" s="13" t="s">
        <v>302</v>
      </c>
    </row>
    <row r="11" spans="1:70" ht="15" x14ac:dyDescent="0.3">
      <c r="D11" t="s">
        <v>34</v>
      </c>
      <c r="E11" s="2" t="b">
        <v>0</v>
      </c>
      <c r="F11" s="2" t="b">
        <v>0</v>
      </c>
      <c r="G11" s="2" t="b">
        <v>0</v>
      </c>
      <c r="H11" s="2" t="b">
        <v>0</v>
      </c>
      <c r="J11" s="2" t="b">
        <v>0</v>
      </c>
      <c r="L11" s="2" t="b">
        <v>0</v>
      </c>
      <c r="M11" s="2" t="b">
        <v>0</v>
      </c>
      <c r="X11" t="s">
        <v>92</v>
      </c>
      <c r="AA11" t="s">
        <v>315</v>
      </c>
      <c r="AH11" t="s">
        <v>260</v>
      </c>
      <c r="AI11" s="5" t="s">
        <v>269</v>
      </c>
      <c r="AK11" t="s">
        <v>132</v>
      </c>
      <c r="BN11" t="s">
        <v>336</v>
      </c>
      <c r="BP11" s="13">
        <v>38571</v>
      </c>
      <c r="BQ11" s="15" t="s">
        <v>283</v>
      </c>
      <c r="BR11" s="13" t="s">
        <v>303</v>
      </c>
    </row>
    <row r="12" spans="1:70" ht="15" x14ac:dyDescent="0.3">
      <c r="D12" t="s">
        <v>35</v>
      </c>
      <c r="E12" s="2" t="b">
        <v>0</v>
      </c>
      <c r="F12" s="2" t="b">
        <v>0</v>
      </c>
      <c r="G12" s="2" t="b">
        <v>0</v>
      </c>
      <c r="H12" s="2" t="b">
        <v>0</v>
      </c>
      <c r="J12" s="2" t="b">
        <v>0</v>
      </c>
      <c r="L12" s="2" t="b">
        <v>0</v>
      </c>
      <c r="M12" s="2" t="b">
        <v>0</v>
      </c>
      <c r="V12" t="s">
        <v>231</v>
      </c>
      <c r="X12" t="s">
        <v>96</v>
      </c>
      <c r="AA12" t="s">
        <v>316</v>
      </c>
      <c r="AH12" t="s">
        <v>261</v>
      </c>
      <c r="AI12" s="5" t="s">
        <v>270</v>
      </c>
      <c r="BN12" t="s">
        <v>337</v>
      </c>
      <c r="BP12" s="13">
        <v>50545</v>
      </c>
      <c r="BQ12" s="15" t="s">
        <v>282</v>
      </c>
      <c r="BR12" s="13" t="s">
        <v>304</v>
      </c>
    </row>
    <row r="13" spans="1:70" ht="15" x14ac:dyDescent="0.3">
      <c r="D13" t="s">
        <v>36</v>
      </c>
      <c r="E13" s="2" t="b">
        <v>0</v>
      </c>
      <c r="F13" s="2" t="b">
        <v>0</v>
      </c>
      <c r="G13" s="2" t="b">
        <v>0</v>
      </c>
      <c r="H13" s="2" t="b">
        <v>0</v>
      </c>
      <c r="J13" s="2" t="b">
        <v>0</v>
      </c>
      <c r="L13" s="2" t="b">
        <v>0</v>
      </c>
      <c r="M13" s="2" t="b">
        <v>0</v>
      </c>
      <c r="T13" s="10" t="s">
        <v>219</v>
      </c>
      <c r="V13" t="s">
        <v>232</v>
      </c>
      <c r="X13" t="s">
        <v>93</v>
      </c>
      <c r="AA13" t="s">
        <v>317</v>
      </c>
      <c r="AH13" t="s">
        <v>262</v>
      </c>
      <c r="AI13" s="5" t="s">
        <v>271</v>
      </c>
      <c r="AK13" t="s">
        <v>133</v>
      </c>
      <c r="BN13" t="s">
        <v>338</v>
      </c>
      <c r="BP13" s="13">
        <v>57425</v>
      </c>
      <c r="BQ13" s="15" t="s">
        <v>281</v>
      </c>
      <c r="BR13" s="13" t="s">
        <v>305</v>
      </c>
    </row>
    <row r="14" spans="1:70" ht="15" x14ac:dyDescent="0.3">
      <c r="B14" t="s">
        <v>44</v>
      </c>
      <c r="D14" t="s">
        <v>37</v>
      </c>
      <c r="E14" s="2" t="b">
        <v>0</v>
      </c>
      <c r="F14" s="2" t="b">
        <v>0</v>
      </c>
      <c r="G14" s="2" t="b">
        <v>0</v>
      </c>
      <c r="H14" s="2" t="b">
        <v>0</v>
      </c>
      <c r="J14" s="2" t="b">
        <v>0</v>
      </c>
      <c r="L14" s="2" t="b">
        <v>0</v>
      </c>
      <c r="M14" s="2" t="b">
        <v>0</v>
      </c>
      <c r="T14" s="10" t="s">
        <v>220</v>
      </c>
      <c r="V14" t="s">
        <v>233</v>
      </c>
      <c r="X14" t="s">
        <v>94</v>
      </c>
      <c r="AA14" t="s">
        <v>318</v>
      </c>
      <c r="AH14" t="s">
        <v>261</v>
      </c>
      <c r="AI14" s="5" t="s">
        <v>272</v>
      </c>
      <c r="AK14" t="s">
        <v>134</v>
      </c>
      <c r="BN14" t="s">
        <v>339</v>
      </c>
      <c r="BP14" s="13">
        <v>52648</v>
      </c>
      <c r="BQ14" s="15" t="s">
        <v>280</v>
      </c>
      <c r="BR14" s="13" t="s">
        <v>306</v>
      </c>
    </row>
    <row r="15" spans="1:70" ht="15" x14ac:dyDescent="0.3">
      <c r="B15" t="s">
        <v>45</v>
      </c>
      <c r="D15" t="s">
        <v>38</v>
      </c>
      <c r="E15" s="2" t="b">
        <v>0</v>
      </c>
      <c r="F15" s="2" t="b">
        <v>0</v>
      </c>
      <c r="G15" s="2" t="b">
        <v>0</v>
      </c>
      <c r="H15" s="2" t="b">
        <v>0</v>
      </c>
      <c r="J15" s="2" t="b">
        <v>0</v>
      </c>
      <c r="L15" s="2" t="b">
        <v>0</v>
      </c>
      <c r="M15" s="2" t="b">
        <v>0</v>
      </c>
      <c r="T15" s="10" t="s">
        <v>221</v>
      </c>
      <c r="V15" t="s">
        <v>234</v>
      </c>
      <c r="X15" t="s">
        <v>95</v>
      </c>
      <c r="AA15" t="s">
        <v>319</v>
      </c>
      <c r="AH15" t="s">
        <v>261</v>
      </c>
      <c r="AI15" s="5" t="s">
        <v>273</v>
      </c>
      <c r="AK15" t="s">
        <v>135</v>
      </c>
      <c r="BN15" t="s">
        <v>340</v>
      </c>
      <c r="BP15" s="13">
        <v>52649</v>
      </c>
      <c r="BQ15" s="14" t="s">
        <v>279</v>
      </c>
      <c r="BR15" s="13" t="s">
        <v>307</v>
      </c>
    </row>
    <row r="16" spans="1:70" ht="15" x14ac:dyDescent="0.3">
      <c r="B16" t="s">
        <v>46</v>
      </c>
      <c r="D16" t="s">
        <v>39</v>
      </c>
      <c r="E16" s="2" t="b">
        <v>0</v>
      </c>
      <c r="F16" s="2" t="b">
        <v>0</v>
      </c>
      <c r="G16" s="2" t="b">
        <v>0</v>
      </c>
      <c r="H16" s="2" t="b">
        <v>0</v>
      </c>
      <c r="J16" s="2" t="b">
        <v>0</v>
      </c>
      <c r="L16" s="2" t="b">
        <v>0</v>
      </c>
      <c r="M16" s="2" t="b">
        <v>0</v>
      </c>
      <c r="T16" s="10" t="s">
        <v>222</v>
      </c>
      <c r="V16" t="s">
        <v>235</v>
      </c>
      <c r="X16" t="s">
        <v>97</v>
      </c>
      <c r="AA16" t="s">
        <v>320</v>
      </c>
      <c r="BN16" t="s">
        <v>341</v>
      </c>
      <c r="BP16" s="13">
        <v>52352</v>
      </c>
      <c r="BQ16" t="s">
        <v>293</v>
      </c>
      <c r="BR16" s="13" t="s">
        <v>308</v>
      </c>
    </row>
    <row r="17" spans="2:66" x14ac:dyDescent="0.3">
      <c r="D17" t="s">
        <v>40</v>
      </c>
      <c r="E17" s="2" t="b">
        <v>0</v>
      </c>
      <c r="F17" s="2" t="b">
        <v>0</v>
      </c>
      <c r="G17" s="2" t="b">
        <v>0</v>
      </c>
      <c r="H17" s="2" t="b">
        <v>0</v>
      </c>
      <c r="J17" s="2" t="b">
        <v>0</v>
      </c>
      <c r="L17" s="2" t="b">
        <v>0</v>
      </c>
      <c r="M17" s="2" t="b">
        <v>0</v>
      </c>
      <c r="T17" s="10" t="s">
        <v>223</v>
      </c>
      <c r="V17" t="s">
        <v>236</v>
      </c>
      <c r="X17" t="s">
        <v>195</v>
      </c>
      <c r="AA17" t="s">
        <v>343</v>
      </c>
      <c r="AK17" t="s">
        <v>136</v>
      </c>
      <c r="BN17" t="s">
        <v>342</v>
      </c>
    </row>
    <row r="18" spans="2:66" x14ac:dyDescent="0.3">
      <c r="D18" t="s">
        <v>41</v>
      </c>
      <c r="E18" s="2" t="b">
        <v>0</v>
      </c>
      <c r="F18" s="2" t="b">
        <v>0</v>
      </c>
      <c r="G18" s="2" t="b">
        <v>0</v>
      </c>
      <c r="H18" s="2" t="b">
        <v>0</v>
      </c>
      <c r="J18" s="2" t="b">
        <v>0</v>
      </c>
      <c r="L18" s="2" t="b">
        <v>0</v>
      </c>
      <c r="M18" s="2" t="b">
        <v>0</v>
      </c>
      <c r="T18" s="10" t="s">
        <v>224</v>
      </c>
      <c r="AH18" t="s">
        <v>359</v>
      </c>
      <c r="AI18" s="5" t="s">
        <v>347</v>
      </c>
    </row>
    <row r="19" spans="2:66" x14ac:dyDescent="0.3">
      <c r="B19" t="s">
        <v>68</v>
      </c>
      <c r="D19" t="s">
        <v>42</v>
      </c>
      <c r="E19" s="2" t="b">
        <v>0</v>
      </c>
      <c r="F19" s="2" t="b">
        <v>0</v>
      </c>
      <c r="G19" s="2" t="b">
        <v>0</v>
      </c>
      <c r="H19" s="2" t="b">
        <v>0</v>
      </c>
      <c r="J19" s="2" t="b">
        <v>0</v>
      </c>
      <c r="L19" s="2" t="b">
        <v>0</v>
      </c>
      <c r="M19" s="2" t="b">
        <v>0</v>
      </c>
      <c r="T19" s="10" t="s">
        <v>226</v>
      </c>
      <c r="AH19" t="s">
        <v>360</v>
      </c>
      <c r="AI19" s="5" t="s">
        <v>348</v>
      </c>
      <c r="AK19" t="s">
        <v>137</v>
      </c>
    </row>
    <row r="20" spans="2:66" x14ac:dyDescent="0.3">
      <c r="B20" t="s">
        <v>59</v>
      </c>
      <c r="D20" t="s">
        <v>43</v>
      </c>
      <c r="E20" s="2" t="b">
        <v>0</v>
      </c>
      <c r="F20" s="2" t="b">
        <v>0</v>
      </c>
      <c r="G20" s="2" t="b">
        <v>0</v>
      </c>
      <c r="H20" s="2" t="b">
        <v>0</v>
      </c>
      <c r="J20" s="2" t="b">
        <v>0</v>
      </c>
      <c r="L20" s="2" t="b">
        <v>0</v>
      </c>
      <c r="M20" s="2" t="b">
        <v>0</v>
      </c>
      <c r="T20" s="10" t="s">
        <v>225</v>
      </c>
      <c r="X20" t="s">
        <v>263</v>
      </c>
      <c r="AH20" t="s">
        <v>361</v>
      </c>
      <c r="AI20" s="5" t="s">
        <v>349</v>
      </c>
      <c r="AK20" t="s">
        <v>138</v>
      </c>
    </row>
    <row r="21" spans="2:66" x14ac:dyDescent="0.3">
      <c r="B21" t="s">
        <v>60</v>
      </c>
      <c r="V21" t="s">
        <v>323</v>
      </c>
      <c r="X21" t="s">
        <v>264</v>
      </c>
      <c r="AH21" t="s">
        <v>362</v>
      </c>
      <c r="AI21" s="5" t="s">
        <v>350</v>
      </c>
    </row>
    <row r="22" spans="2:66" x14ac:dyDescent="0.3">
      <c r="B22" t="s">
        <v>61</v>
      </c>
      <c r="V22" t="s">
        <v>324</v>
      </c>
      <c r="X22" t="s">
        <v>265</v>
      </c>
      <c r="AH22" t="s">
        <v>363</v>
      </c>
      <c r="AI22" s="5" t="s">
        <v>351</v>
      </c>
      <c r="AK22" t="s">
        <v>139</v>
      </c>
    </row>
    <row r="23" spans="2:66" x14ac:dyDescent="0.3">
      <c r="B23" t="s">
        <v>62</v>
      </c>
      <c r="V23" t="s">
        <v>325</v>
      </c>
      <c r="X23" t="s">
        <v>266</v>
      </c>
      <c r="AH23" t="s">
        <v>364</v>
      </c>
      <c r="AI23" s="5" t="s">
        <v>352</v>
      </c>
      <c r="AK23" t="s">
        <v>140</v>
      </c>
    </row>
    <row r="24" spans="2:66" x14ac:dyDescent="0.3">
      <c r="B24" t="s">
        <v>63</v>
      </c>
      <c r="X24" t="s">
        <v>267</v>
      </c>
      <c r="AI24" s="5" t="s">
        <v>353</v>
      </c>
      <c r="AK24" t="s">
        <v>141</v>
      </c>
    </row>
    <row r="25" spans="2:66" x14ac:dyDescent="0.3">
      <c r="B25" t="s">
        <v>66</v>
      </c>
      <c r="X25" t="s">
        <v>268</v>
      </c>
      <c r="AI25" s="5" t="s">
        <v>354</v>
      </c>
      <c r="AK25" t="s">
        <v>142</v>
      </c>
    </row>
    <row r="26" spans="2:66" x14ac:dyDescent="0.3">
      <c r="B26" t="s">
        <v>67</v>
      </c>
      <c r="AI26" s="5" t="s">
        <v>355</v>
      </c>
      <c r="AK26" t="s">
        <v>143</v>
      </c>
    </row>
    <row r="27" spans="2:66" x14ac:dyDescent="0.3">
      <c r="AI27" s="5" t="s">
        <v>356</v>
      </c>
      <c r="AK27" t="s">
        <v>144</v>
      </c>
    </row>
    <row r="28" spans="2:66" x14ac:dyDescent="0.3">
      <c r="B28" t="s">
        <v>55</v>
      </c>
      <c r="AI28" s="5" t="s">
        <v>357</v>
      </c>
      <c r="AK28" t="s">
        <v>145</v>
      </c>
    </row>
    <row r="29" spans="2:66" x14ac:dyDescent="0.3">
      <c r="B29" t="s">
        <v>51</v>
      </c>
      <c r="AI29" s="5" t="s">
        <v>358</v>
      </c>
      <c r="AK29" t="s">
        <v>146</v>
      </c>
    </row>
    <row r="30" spans="2:66" x14ac:dyDescent="0.3">
      <c r="B30" t="s">
        <v>72</v>
      </c>
      <c r="AK30" t="s">
        <v>147</v>
      </c>
    </row>
    <row r="31" spans="2:66" x14ac:dyDescent="0.3">
      <c r="B31" t="s">
        <v>71</v>
      </c>
      <c r="AK31" t="s">
        <v>148</v>
      </c>
    </row>
    <row r="32" spans="2:66" x14ac:dyDescent="0.3">
      <c r="AK32" t="s">
        <v>149</v>
      </c>
    </row>
    <row r="33" spans="1:37" x14ac:dyDescent="0.3">
      <c r="A33" t="s">
        <v>192</v>
      </c>
      <c r="B33" s="9" t="s">
        <v>193</v>
      </c>
      <c r="AK33" t="s">
        <v>150</v>
      </c>
    </row>
    <row r="34" spans="1:37" x14ac:dyDescent="0.3">
      <c r="AK34" t="s">
        <v>151</v>
      </c>
    </row>
    <row r="35" spans="1:37" x14ac:dyDescent="0.3">
      <c r="AK35" t="s">
        <v>152</v>
      </c>
    </row>
    <row r="36" spans="1:37" x14ac:dyDescent="0.3">
      <c r="AK36" t="s">
        <v>153</v>
      </c>
    </row>
    <row r="37" spans="1:37" x14ac:dyDescent="0.3">
      <c r="AK37" t="s">
        <v>154</v>
      </c>
    </row>
    <row r="38" spans="1:37" x14ac:dyDescent="0.3">
      <c r="AK38" t="s">
        <v>155</v>
      </c>
    </row>
    <row r="39" spans="1:37" x14ac:dyDescent="0.3">
      <c r="AK39" t="s">
        <v>156</v>
      </c>
    </row>
    <row r="40" spans="1:37" x14ac:dyDescent="0.3">
      <c r="AK40" t="s">
        <v>157</v>
      </c>
    </row>
    <row r="41" spans="1:37" x14ac:dyDescent="0.3">
      <c r="AK41" t="s">
        <v>158</v>
      </c>
    </row>
    <row r="42" spans="1:37" x14ac:dyDescent="0.3">
      <c r="AK42" t="s">
        <v>159</v>
      </c>
    </row>
    <row r="43" spans="1:37" x14ac:dyDescent="0.3">
      <c r="AK43" t="s">
        <v>160</v>
      </c>
    </row>
    <row r="44" spans="1:37" x14ac:dyDescent="0.3">
      <c r="AK44" t="s">
        <v>161</v>
      </c>
    </row>
    <row r="45" spans="1:37" x14ac:dyDescent="0.3">
      <c r="AK45" t="s">
        <v>162</v>
      </c>
    </row>
    <row r="46" spans="1:37" x14ac:dyDescent="0.3">
      <c r="AK46" t="s">
        <v>163</v>
      </c>
    </row>
    <row r="47" spans="1:37" x14ac:dyDescent="0.3">
      <c r="AK47" t="s">
        <v>164</v>
      </c>
    </row>
    <row r="48" spans="1:37" x14ac:dyDescent="0.3">
      <c r="AK48" t="s">
        <v>165</v>
      </c>
    </row>
    <row r="50" spans="37:37" x14ac:dyDescent="0.3">
      <c r="AK50" t="s">
        <v>166</v>
      </c>
    </row>
    <row r="51" spans="37:37" x14ac:dyDescent="0.3">
      <c r="AK51" t="s">
        <v>167</v>
      </c>
    </row>
    <row r="52" spans="37:37" x14ac:dyDescent="0.3">
      <c r="AK52" t="s">
        <v>168</v>
      </c>
    </row>
    <row r="56" spans="37:37" x14ac:dyDescent="0.3">
      <c r="AK56" t="s">
        <v>169</v>
      </c>
    </row>
    <row r="58" spans="37:37" x14ac:dyDescent="0.3">
      <c r="AK58" t="s">
        <v>170</v>
      </c>
    </row>
    <row r="60" spans="37:37" x14ac:dyDescent="0.3">
      <c r="AK60" t="s">
        <v>129</v>
      </c>
    </row>
    <row r="62" spans="37:37" x14ac:dyDescent="0.3">
      <c r="AK62" t="s">
        <v>171</v>
      </c>
    </row>
    <row r="64" spans="37:37" x14ac:dyDescent="0.3">
      <c r="AK64" t="s">
        <v>172</v>
      </c>
    </row>
    <row r="66" spans="37:37" x14ac:dyDescent="0.3">
      <c r="AK66" t="s">
        <v>173</v>
      </c>
    </row>
    <row r="68" spans="37:37" x14ac:dyDescent="0.3">
      <c r="AK68" t="s">
        <v>174</v>
      </c>
    </row>
    <row r="69" spans="37:37" x14ac:dyDescent="0.3">
      <c r="AK69" t="s">
        <v>175</v>
      </c>
    </row>
    <row r="70" spans="37:37" x14ac:dyDescent="0.3">
      <c r="AK70" t="s">
        <v>176</v>
      </c>
    </row>
    <row r="72" spans="37:37" x14ac:dyDescent="0.3">
      <c r="AK72" t="s">
        <v>129</v>
      </c>
    </row>
    <row r="74" spans="37:37" x14ac:dyDescent="0.3">
      <c r="AK74" t="s">
        <v>177</v>
      </c>
    </row>
    <row r="76" spans="37:37" x14ac:dyDescent="0.3">
      <c r="AK76" t="s">
        <v>178</v>
      </c>
    </row>
    <row r="77" spans="37:37" x14ac:dyDescent="0.3">
      <c r="AK77" t="s">
        <v>179</v>
      </c>
    </row>
    <row r="78" spans="37:37" x14ac:dyDescent="0.3">
      <c r="AK78" t="s">
        <v>180</v>
      </c>
    </row>
    <row r="79" spans="37:37" x14ac:dyDescent="0.3">
      <c r="AK79" t="s">
        <v>181</v>
      </c>
    </row>
    <row r="80" spans="37:37" x14ac:dyDescent="0.3">
      <c r="AK80" t="s">
        <v>182</v>
      </c>
    </row>
    <row r="81" spans="37:37" x14ac:dyDescent="0.3">
      <c r="AK81" t="s">
        <v>183</v>
      </c>
    </row>
    <row r="83" spans="37:37" x14ac:dyDescent="0.3">
      <c r="AK83" t="s">
        <v>184</v>
      </c>
    </row>
    <row r="85" spans="37:37" x14ac:dyDescent="0.3">
      <c r="AK85" t="s">
        <v>185</v>
      </c>
    </row>
  </sheetData>
  <mergeCells count="3">
    <mergeCell ref="N1:S1"/>
    <mergeCell ref="B1:K1"/>
    <mergeCell ref="AF2:AF9"/>
  </mergeCells>
  <hyperlinks>
    <hyperlink ref="B33" r:id="rId1" xr:uid="{DE37720E-6C76-4B18-8AB0-46213730DA1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Providers</vt:lpstr>
      <vt:lpstr>SURGICAL SCHEDULING</vt:lpstr>
      <vt:lpstr>RADIOLOGY</vt:lpstr>
      <vt:lpstr>COMMUNICATION</vt:lpstr>
      <vt:lpstr>CALENDAR</vt:lpstr>
      <vt:lpstr>MANAGEMENT CONCEPTS</vt:lpstr>
      <vt:lpstr>QUERIES</vt:lpstr>
      <vt:lpstr>DIAGRAMS</vt: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Prabhakar Pandey</dc:creator>
  <cp:lastModifiedBy>Pandey, Prabhakar</cp:lastModifiedBy>
  <dcterms:created xsi:type="dcterms:W3CDTF">2026-02-26T13:21:55Z</dcterms:created>
  <dcterms:modified xsi:type="dcterms:W3CDTF">2026-03-10T14:22:36Z</dcterms:modified>
</cp:coreProperties>
</file>